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iit-my.sharepoint.com/personal/a059571_unipi_it/Documents/PISA/MODEL/Eurogreen/"/>
    </mc:Choice>
  </mc:AlternateContent>
  <xr:revisionPtr revIDLastSave="354" documentId="8_{323414C5-9B48-4040-8078-B6CE7FF94F03}" xr6:coauthVersionLast="47" xr6:coauthVersionMax="47" xr10:uidLastSave="{6F82709C-3557-40E1-95F3-FE1B953DEE24}"/>
  <bookViews>
    <workbookView xWindow="-108" yWindow="-108" windowWidth="23256" windowHeight="13896" xr2:uid="{82547421-9A5C-4D88-9D71-FB5668845A6F}"/>
  </bookViews>
  <sheets>
    <sheet name="wellbeing" sheetId="1" r:id="rId1"/>
  </sheets>
  <definedNames>
    <definedName name="access_rq">wellbeing!$B$103:$F$122</definedName>
    <definedName name="coeff_discrtime_rel">wellbeing!$I$30</definedName>
    <definedName name="coeff_discrtime_sq_rel">wellbeing!$I$31</definedName>
    <definedName name="coeff_inc_wb">wellbeing!$C$4:$C$24</definedName>
    <definedName name="coeff_inc2_wb">wellbeing!$D$4:$D$24</definedName>
    <definedName name="coeff_prices_wb">wellbeing!$E$4:$Y$24</definedName>
    <definedName name="discrtime_rq">wellbeing!$B$175:$F$194</definedName>
    <definedName name="discrtime_sq_rq">wellbeing!$B$199:$F$218</definedName>
    <definedName name="environment_rq">wellbeing!$B$151:$F$170</definedName>
    <definedName name="gini_peer_rq">wellbeing!$B$222:$F$241</definedName>
    <definedName name="lifesatisf_coeff">wellbeing!$I$36:$I$43</definedName>
    <definedName name="lifesatisf_coeff_lnx">wellbeing!$I$35</definedName>
    <definedName name="lifesatisf_pollution">wellbeing!$P$29</definedName>
    <definedName name="lifesatisf_rq">wellbeing!$B$246:$F$265</definedName>
    <definedName name="neighbquality_rq">wellbeing!$B$127:$F$146</definedName>
    <definedName name="relationship_rq">wellbeing!$B$55:$F$74</definedName>
    <definedName name="trust_rq">wellbeing!$B$79:$F$98</definedName>
    <definedName name="wb_coefficients">wellbeing!$Z$4:$AG$24</definedName>
    <definedName name="wtr_discrtime_impact">wellbeing!$B$30:$F$49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1" i="1" l="1"/>
  <c r="O202" i="1"/>
  <c r="P202" i="1"/>
  <c r="P204" i="1"/>
  <c r="Q204" i="1"/>
  <c r="S209" i="1"/>
  <c r="P210" i="1"/>
  <c r="Q210" i="1"/>
  <c r="S212" i="1"/>
  <c r="P213" i="1"/>
  <c r="Q215" i="1"/>
  <c r="S215" i="1"/>
  <c r="P216" i="1"/>
  <c r="Q216" i="1"/>
  <c r="H199" i="1"/>
  <c r="O199" i="1" s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F75" i="1"/>
  <c r="E75" i="1"/>
  <c r="D75" i="1"/>
  <c r="C75" i="1"/>
  <c r="B75" i="1"/>
  <c r="F99" i="1"/>
  <c r="E99" i="1"/>
  <c r="D99" i="1"/>
  <c r="C99" i="1"/>
  <c r="B99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F123" i="1"/>
  <c r="E123" i="1"/>
  <c r="D123" i="1"/>
  <c r="C123" i="1"/>
  <c r="B123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F147" i="1"/>
  <c r="E147" i="1"/>
  <c r="D147" i="1"/>
  <c r="C147" i="1"/>
  <c r="B147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F171" i="1"/>
  <c r="E171" i="1"/>
  <c r="D171" i="1"/>
  <c r="C171" i="1"/>
  <c r="B171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F195" i="1"/>
  <c r="E195" i="1"/>
  <c r="D195" i="1"/>
  <c r="C195" i="1"/>
  <c r="B195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B242" i="1"/>
  <c r="F242" i="1"/>
  <c r="E242" i="1"/>
  <c r="D242" i="1"/>
  <c r="C242" i="1"/>
  <c r="C266" i="1"/>
  <c r="D266" i="1"/>
  <c r="E266" i="1"/>
  <c r="F266" i="1"/>
  <c r="B26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46" i="1"/>
  <c r="H200" i="1"/>
  <c r="O200" i="1" s="1"/>
  <c r="I200" i="1"/>
  <c r="P200" i="1" s="1"/>
  <c r="J200" i="1"/>
  <c r="Q200" i="1" s="1"/>
  <c r="K200" i="1"/>
  <c r="R200" i="1" s="1"/>
  <c r="L200" i="1"/>
  <c r="S200" i="1" s="1"/>
  <c r="H201" i="1"/>
  <c r="O201" i="1" s="1"/>
  <c r="I201" i="1"/>
  <c r="P201" i="1" s="1"/>
  <c r="J201" i="1"/>
  <c r="Q201" i="1" s="1"/>
  <c r="K201" i="1"/>
  <c r="R201" i="1" s="1"/>
  <c r="L201" i="1"/>
  <c r="H202" i="1"/>
  <c r="I202" i="1"/>
  <c r="J202" i="1"/>
  <c r="Q202" i="1" s="1"/>
  <c r="K202" i="1"/>
  <c r="R202" i="1" s="1"/>
  <c r="L202" i="1"/>
  <c r="S202" i="1" s="1"/>
  <c r="H203" i="1"/>
  <c r="O203" i="1" s="1"/>
  <c r="I203" i="1"/>
  <c r="P203" i="1" s="1"/>
  <c r="J203" i="1"/>
  <c r="Q203" i="1" s="1"/>
  <c r="K203" i="1"/>
  <c r="R203" i="1" s="1"/>
  <c r="L203" i="1"/>
  <c r="S203" i="1" s="1"/>
  <c r="H204" i="1"/>
  <c r="O204" i="1" s="1"/>
  <c r="I204" i="1"/>
  <c r="J204" i="1"/>
  <c r="K204" i="1"/>
  <c r="R204" i="1" s="1"/>
  <c r="L204" i="1"/>
  <c r="S204" i="1" s="1"/>
  <c r="H205" i="1"/>
  <c r="O205" i="1" s="1"/>
  <c r="I205" i="1"/>
  <c r="P205" i="1" s="1"/>
  <c r="J205" i="1"/>
  <c r="Q205" i="1" s="1"/>
  <c r="K205" i="1"/>
  <c r="R205" i="1" s="1"/>
  <c r="L205" i="1"/>
  <c r="S205" i="1" s="1"/>
  <c r="H206" i="1"/>
  <c r="O206" i="1" s="1"/>
  <c r="I206" i="1"/>
  <c r="P206" i="1" s="1"/>
  <c r="J206" i="1"/>
  <c r="Q206" i="1" s="1"/>
  <c r="K206" i="1"/>
  <c r="R206" i="1" s="1"/>
  <c r="L206" i="1"/>
  <c r="S206" i="1" s="1"/>
  <c r="H207" i="1"/>
  <c r="O207" i="1" s="1"/>
  <c r="I207" i="1"/>
  <c r="P207" i="1" s="1"/>
  <c r="J207" i="1"/>
  <c r="Q207" i="1" s="1"/>
  <c r="K207" i="1"/>
  <c r="R207" i="1" s="1"/>
  <c r="L207" i="1"/>
  <c r="S207" i="1" s="1"/>
  <c r="H208" i="1"/>
  <c r="O208" i="1" s="1"/>
  <c r="I208" i="1"/>
  <c r="P208" i="1" s="1"/>
  <c r="J208" i="1"/>
  <c r="Q208" i="1" s="1"/>
  <c r="K208" i="1"/>
  <c r="R208" i="1" s="1"/>
  <c r="L208" i="1"/>
  <c r="S208" i="1" s="1"/>
  <c r="H209" i="1"/>
  <c r="O209" i="1" s="1"/>
  <c r="I209" i="1"/>
  <c r="P209" i="1" s="1"/>
  <c r="J209" i="1"/>
  <c r="Q209" i="1" s="1"/>
  <c r="K209" i="1"/>
  <c r="R209" i="1" s="1"/>
  <c r="L209" i="1"/>
  <c r="H210" i="1"/>
  <c r="O210" i="1" s="1"/>
  <c r="I210" i="1"/>
  <c r="J210" i="1"/>
  <c r="K210" i="1"/>
  <c r="R210" i="1" s="1"/>
  <c r="L210" i="1"/>
  <c r="S210" i="1" s="1"/>
  <c r="H211" i="1"/>
  <c r="O211" i="1" s="1"/>
  <c r="I211" i="1"/>
  <c r="P211" i="1" s="1"/>
  <c r="J211" i="1"/>
  <c r="Q211" i="1" s="1"/>
  <c r="K211" i="1"/>
  <c r="R211" i="1" s="1"/>
  <c r="L211" i="1"/>
  <c r="S211" i="1" s="1"/>
  <c r="H212" i="1"/>
  <c r="O212" i="1" s="1"/>
  <c r="I212" i="1"/>
  <c r="P212" i="1" s="1"/>
  <c r="J212" i="1"/>
  <c r="Q212" i="1" s="1"/>
  <c r="K212" i="1"/>
  <c r="R212" i="1" s="1"/>
  <c r="L212" i="1"/>
  <c r="H213" i="1"/>
  <c r="O213" i="1" s="1"/>
  <c r="I213" i="1"/>
  <c r="J213" i="1"/>
  <c r="Q213" i="1" s="1"/>
  <c r="K213" i="1"/>
  <c r="R213" i="1" s="1"/>
  <c r="L213" i="1"/>
  <c r="S213" i="1" s="1"/>
  <c r="H214" i="1"/>
  <c r="O214" i="1" s="1"/>
  <c r="I214" i="1"/>
  <c r="P214" i="1" s="1"/>
  <c r="J214" i="1"/>
  <c r="Q214" i="1" s="1"/>
  <c r="K214" i="1"/>
  <c r="R214" i="1" s="1"/>
  <c r="L214" i="1"/>
  <c r="S214" i="1" s="1"/>
  <c r="H215" i="1"/>
  <c r="O215" i="1" s="1"/>
  <c r="I215" i="1"/>
  <c r="P215" i="1" s="1"/>
  <c r="J215" i="1"/>
  <c r="K215" i="1"/>
  <c r="R215" i="1" s="1"/>
  <c r="L215" i="1"/>
  <c r="H216" i="1"/>
  <c r="O216" i="1" s="1"/>
  <c r="I216" i="1"/>
  <c r="J216" i="1"/>
  <c r="K216" i="1"/>
  <c r="R216" i="1" s="1"/>
  <c r="L216" i="1"/>
  <c r="S216" i="1" s="1"/>
  <c r="H217" i="1"/>
  <c r="O217" i="1" s="1"/>
  <c r="I217" i="1"/>
  <c r="P217" i="1" s="1"/>
  <c r="J217" i="1"/>
  <c r="Q217" i="1" s="1"/>
  <c r="K217" i="1"/>
  <c r="R217" i="1" s="1"/>
  <c r="L217" i="1"/>
  <c r="S217" i="1" s="1"/>
  <c r="H218" i="1"/>
  <c r="O218" i="1" s="1"/>
  <c r="I218" i="1"/>
  <c r="P218" i="1" s="1"/>
  <c r="J218" i="1"/>
  <c r="Q218" i="1" s="1"/>
  <c r="K218" i="1"/>
  <c r="R218" i="1" s="1"/>
  <c r="L218" i="1"/>
  <c r="S218" i="1" s="1"/>
  <c r="I199" i="1"/>
  <c r="P199" i="1" s="1"/>
  <c r="J199" i="1"/>
  <c r="Q199" i="1" s="1"/>
  <c r="K199" i="1"/>
  <c r="R199" i="1" s="1"/>
  <c r="L199" i="1"/>
  <c r="S199" i="1" s="1"/>
</calcChain>
</file>

<file path=xl/sharedStrings.xml><?xml version="1.0" encoding="utf-8"?>
<sst xmlns="http://schemas.openxmlformats.org/spreadsheetml/2006/main" count="377" uniqueCount="86">
  <si>
    <t>QUAIDS</t>
  </si>
  <si>
    <t>alpha</t>
  </si>
  <si>
    <t>beta</t>
  </si>
  <si>
    <t>lambda</t>
  </si>
  <si>
    <t>gamma</t>
  </si>
  <si>
    <t>constant</t>
  </si>
  <si>
    <t>logx</t>
  </si>
  <si>
    <t>logx2</t>
  </si>
  <si>
    <t>A</t>
  </si>
  <si>
    <t>B</t>
  </si>
  <si>
    <t>C</t>
  </si>
  <si>
    <t>C19</t>
  </si>
  <si>
    <t>C29</t>
  </si>
  <si>
    <t>D1</t>
  </si>
  <si>
    <t>D2</t>
  </si>
  <si>
    <t>D3</t>
  </si>
  <si>
    <t>E</t>
  </si>
  <si>
    <t>F</t>
  </si>
  <si>
    <t>G</t>
  </si>
  <si>
    <t>H</t>
  </si>
  <si>
    <t>I</t>
  </si>
  <si>
    <t>J_R_S</t>
  </si>
  <si>
    <t>K</t>
  </si>
  <si>
    <t>L</t>
  </si>
  <si>
    <t>H_M_N</t>
  </si>
  <si>
    <t>O</t>
  </si>
  <si>
    <t>P</t>
  </si>
  <si>
    <t>Q</t>
  </si>
  <si>
    <t>T</t>
  </si>
  <si>
    <t>relationship</t>
  </si>
  <si>
    <t>trust</t>
  </si>
  <si>
    <t>access</t>
  </si>
  <si>
    <t>neighbquality</t>
  </si>
  <si>
    <t>environment</t>
  </si>
  <si>
    <t>discrtime</t>
  </si>
  <si>
    <t>gini_peer</t>
  </si>
  <si>
    <t>discrtime_sq</t>
  </si>
  <si>
    <t>Piemonte</t>
  </si>
  <si>
    <t>Valle d'Aosta</t>
  </si>
  <si>
    <t>Lombardia</t>
  </si>
  <si>
    <t>Trentino</t>
  </si>
  <si>
    <t>Veneto</t>
  </si>
  <si>
    <t>Friuli</t>
  </si>
  <si>
    <t>Liguria</t>
  </si>
  <si>
    <t>Emilia 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</si>
  <si>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</si>
  <si>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</si>
  <si>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</si>
  <si>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</si>
  <si>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</si>
  <si>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</si>
  <si>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</si>
  <si>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</si>
  <si>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</si>
  <si>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</si>
  <si>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</si>
  <si>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</si>
  <si>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Relationship</t>
  </si>
  <si>
    <t>q1</t>
  </si>
  <si>
    <t>q2</t>
  </si>
  <si>
    <t>q3</t>
  </si>
  <si>
    <t>q4</t>
  </si>
  <si>
    <t>q5</t>
  </si>
  <si>
    <t>ireg</t>
  </si>
  <si>
    <t>q</t>
  </si>
  <si>
    <t>lifesatisf</t>
  </si>
  <si>
    <t>lnrealexp</t>
  </si>
  <si>
    <t>_cons</t>
  </si>
  <si>
    <t>coefficient</t>
  </si>
  <si>
    <t>SE (clustered)</t>
  </si>
  <si>
    <t>t</t>
  </si>
  <si>
    <t>p-value</t>
  </si>
  <si>
    <t>CI_95</t>
  </si>
  <si>
    <t>CI_05</t>
  </si>
  <si>
    <t>Regression of life satsifaction on total expenditure and wellbeing indicators (with controls, region-quintile FE, and clustered SE per region-year)</t>
  </si>
  <si>
    <t>MEAN</t>
  </si>
  <si>
    <t>E(T^2)</t>
  </si>
  <si>
    <t>(E(T))^2</t>
  </si>
  <si>
    <t>Var(T)</t>
  </si>
  <si>
    <t>Wellbeing</t>
  </si>
  <si>
    <t>COEFFICIENTS FROM REGRESSIONS AND COMPUTATIONS</t>
  </si>
  <si>
    <t>Effect of a reduction of 1% in working time on discretionary time</t>
  </si>
  <si>
    <t>Regression of relationship in terms of discretionary time</t>
  </si>
  <si>
    <t>Regression of life satisfaction on all wellbeing indicators</t>
  </si>
  <si>
    <t>INITIAL MEAN VALUES OF WELLBEING INDICATORS</t>
  </si>
  <si>
    <t>Life satisfaction elasticity to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</si>
</sst>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1" fontId="0" fillId="0" borderId="0" xfId="0" applyNumberFormat="1"/>
    <xf numFmtId="11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1" fontId="0" fillId="0" borderId="7" xfId="0" applyNumberFormat="1" applyBorder="1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2" fontId="0" fillId="0" borderId="0" xfId="0" applyNumberFormat="1"/>
    <xf numFmtId="0" fontId="0" fillId="0" borderId="1" xfId="0" applyBorder="1" applyAlignment="1">
      <alignment wrapText="1"/>
    </xf>
    <xf numFmtId="0" fontId="0" fillId="0" borderId="10" xfId="0" applyBorder="1"/>
    <xf numFmtId="0" fontId="0" fillId="0" borderId="9" xfId="0" applyBorder="1"/>
    <xf numFmtId="0" fontId="0" fillId="0" borderId="5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life satisfaction per quintile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wellbeing!$B$266:$F$266</c:f>
              <c:numCache>
                <c:formatCode>0.00</c:formatCode>
                <c:ptCount val="5"/>
                <c:pt idx="0">
                  <c:v>6.7631071999999985</c:v>
                </c:pt>
                <c:pt idx="1">
                  <c:v>6.9024891999999998</c:v>
                </c:pt>
                <c:pt idx="2">
                  <c:v>6.9668238999999996</c:v>
                </c:pt>
                <c:pt idx="3">
                  <c:v>6.9752589499999997</c:v>
                </c:pt>
                <c:pt idx="4">
                  <c:v>7.0165622000000001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D-4F29-930B-3D87C1FB7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764432"/>
        <c:axId val="1672762992"/>
      </c:barChart>
      <c:catAx>
        <c:axId val="1672764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762992"/>
        <c:crosses val="autoZero"/>
        <c:auto val="1"/>
        <c:lblAlgn val="ctr"/>
        <c:lblOffset val="100"/>
        <c:noMultiLvlLbl val="0"/>
      </c:catAx>
      <c:valAx>
        <c:axId val="16727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76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life satisfacton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wellbeing!$A$246:$A$265</c:f>
              <c:strCache>
                <c:ptCount val="20"/>
                <c:pt idx="0">
                  <c:v>Piemonte</c:v>
                </c:pt>
                <c:pt idx="1">
                  <c:v>Valle d'Aosta</c:v>
                </c:pt>
                <c:pt idx="2">
                  <c:v>Lombardia</c:v>
                </c:pt>
                <c:pt idx="3">
                  <c:v>Trentino</c:v>
                </c:pt>
                <c:pt idx="4">
                  <c:v>Veneto</c:v>
                </c:pt>
                <c:pt idx="5">
                  <c:v>Friuli</c:v>
                </c:pt>
                <c:pt idx="6">
                  <c:v>Liguria</c:v>
                </c:pt>
                <c:pt idx="7">
                  <c:v>Emilia Romagna</c:v>
                </c:pt>
                <c:pt idx="8">
                  <c:v>Toscana</c:v>
                </c:pt>
                <c:pt idx="9">
                  <c:v>Umbria</c:v>
                </c:pt>
                <c:pt idx="10">
                  <c:v>Marche</c:v>
                </c:pt>
                <c:pt idx="11">
                  <c:v>Lazio</c:v>
                </c:pt>
                <c:pt idx="12">
                  <c:v>Abruzzo</c:v>
                </c:pt>
                <c:pt idx="13">
                  <c:v>Molise</c:v>
                </c:pt>
                <c:pt idx="14">
                  <c:v>Campania</c:v>
                </c:pt>
                <c:pt idx="15">
                  <c:v>Puglia</c:v>
                </c:pt>
                <c:pt idx="16">
                  <c:v>Basilicata</c:v>
                </c:pt>
                <c:pt idx="17">
                  <c:v>Calabria</c:v>
                </c:pt>
                <c:pt idx="18">
                  <c:v>Sicilia</c:v>
                </c:pt>
                <c:pt idx="19">
                  <c:v>Sardegna</c:v>
                </c:pt>
              </c:strCache>
            </c:strRef>
          </c:cat>
          <c:val>
            <c:numRef>
              <c:f>wellbeing!$G$246:$G$265</c:f>
              <c:numCache>
                <c:formatCode>0.00</c:formatCode>
                <c:ptCount val="20"/>
                <c:pt idx="0">
                  <c:v>7.0678363999999991</c:v>
                </c:pt>
                <c:pt idx="1">
                  <c:v>7.1466362000000005</c:v>
                </c:pt>
                <c:pt idx="2">
                  <c:v>7.1914975999999999</c:v>
                </c:pt>
                <c:pt idx="3">
                  <c:v>7.6167214000000003</c:v>
                </c:pt>
                <c:pt idx="4">
                  <c:v>6.9479767999999993</c:v>
                </c:pt>
                <c:pt idx="5">
                  <c:v>7.1847366000000008</c:v>
                </c:pt>
                <c:pt idx="6">
                  <c:v>6.986271799999999</c:v>
                </c:pt>
                <c:pt idx="7">
                  <c:v>6.8184605999999999</c:v>
                </c:pt>
                <c:pt idx="8">
                  <c:v>6.879541399999999</c:v>
                </c:pt>
                <c:pt idx="9">
                  <c:v>6.9079126000000004</c:v>
                </c:pt>
                <c:pt idx="10">
                  <c:v>6.8395654000000006</c:v>
                </c:pt>
                <c:pt idx="11">
                  <c:v>6.7035134000000003</c:v>
                </c:pt>
                <c:pt idx="12">
                  <c:v>6.9439585999999993</c:v>
                </c:pt>
                <c:pt idx="13">
                  <c:v>6.8935328</c:v>
                </c:pt>
                <c:pt idx="14">
                  <c:v>6.6172674000000002</c:v>
                </c:pt>
                <c:pt idx="15">
                  <c:v>6.8177607999999994</c:v>
                </c:pt>
                <c:pt idx="16">
                  <c:v>6.4181308000000001</c:v>
                </c:pt>
                <c:pt idx="17">
                  <c:v>6.9784436000000003</c:v>
                </c:pt>
                <c:pt idx="18">
                  <c:v>6.5411580000000002</c:v>
                </c:pt>
                <c:pt idx="19">
                  <c:v>6.9960436000000001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B-4348-9D3C-088FD247F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913664"/>
        <c:axId val="972916064"/>
      </c:barChart>
      <c:catAx>
        <c:axId val="97291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16064"/>
        <c:crosses val="autoZero"/>
        <c:auto val="1"/>
        <c:lblAlgn val="ctr"/>
        <c:lblOffset val="100"/>
        <c:noMultiLvlLbl val="0"/>
      </c:catAx>
      <c:valAx>
        <c:axId val="9729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1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perceived inequality per quintile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wellbeing!$B$242:$F$242</c:f>
              <c:numCache>
                <c:formatCode>0.00</c:formatCode>
                <c:ptCount val="5"/>
                <c:pt idx="0">
                  <c:v>0.28202621999999999</c:v>
                </c:pt>
                <c:pt idx="1">
                  <c:v>0.27334778999999998</c:v>
                </c:pt>
                <c:pt idx="2">
                  <c:v>0.26930353500000004</c:v>
                </c:pt>
                <c:pt idx="3">
                  <c:v>0.26523342999999999</c:v>
                </c:pt>
                <c:pt idx="4">
                  <c:v>0.26155309999999998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3-4DF0-A4FA-6CD3848A3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764432"/>
        <c:axId val="1672762992"/>
      </c:barChart>
      <c:catAx>
        <c:axId val="1672764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762992"/>
        <c:crosses val="autoZero"/>
        <c:auto val="1"/>
        <c:lblAlgn val="ctr"/>
        <c:lblOffset val="100"/>
        <c:noMultiLvlLbl val="0"/>
      </c:catAx>
      <c:valAx>
        <c:axId val="16727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76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perceived inequality</a:t>
            </a:r>
            <a:r>
              <a:rPr lang="en-US" baseline="0"/>
              <a:t> </a:t>
            </a:r>
            <a:r>
              <a:rPr lang="en-US"/>
              <a:t>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wellbeing!$A$222:$A$241</c:f>
              <c:strCache>
                <c:ptCount val="20"/>
                <c:pt idx="0">
                  <c:v>Piemonte</c:v>
                </c:pt>
                <c:pt idx="1">
                  <c:v>Valle d'Aosta</c:v>
                </c:pt>
                <c:pt idx="2">
                  <c:v>Lombardia</c:v>
                </c:pt>
                <c:pt idx="3">
                  <c:v>Trentino</c:v>
                </c:pt>
                <c:pt idx="4">
                  <c:v>Veneto</c:v>
                </c:pt>
                <c:pt idx="5">
                  <c:v>Friuli</c:v>
                </c:pt>
                <c:pt idx="6">
                  <c:v>Liguria</c:v>
                </c:pt>
                <c:pt idx="7">
                  <c:v>Emilia Romagna</c:v>
                </c:pt>
                <c:pt idx="8">
                  <c:v>Toscana</c:v>
                </c:pt>
                <c:pt idx="9">
                  <c:v>Umbria</c:v>
                </c:pt>
                <c:pt idx="10">
                  <c:v>Marche</c:v>
                </c:pt>
                <c:pt idx="11">
                  <c:v>Lazio</c:v>
                </c:pt>
                <c:pt idx="12">
                  <c:v>Abruzzo</c:v>
                </c:pt>
                <c:pt idx="13">
                  <c:v>Molise</c:v>
                </c:pt>
                <c:pt idx="14">
                  <c:v>Campania</c:v>
                </c:pt>
                <c:pt idx="15">
                  <c:v>Puglia</c:v>
                </c:pt>
                <c:pt idx="16">
                  <c:v>Basilicata</c:v>
                </c:pt>
                <c:pt idx="17">
                  <c:v>Calabria</c:v>
                </c:pt>
                <c:pt idx="18">
                  <c:v>Sicilia</c:v>
                </c:pt>
                <c:pt idx="19">
                  <c:v>Sardegna</c:v>
                </c:pt>
              </c:strCache>
            </c:strRef>
          </c:cat>
          <c:val>
            <c:numRef>
              <c:f>wellbeing!$G$222:$G$241</c:f>
              <c:numCache>
                <c:formatCode>0.00</c:formatCode>
                <c:ptCount val="20"/>
                <c:pt idx="0">
                  <c:v>0.26683864000000002</c:v>
                </c:pt>
                <c:pt idx="1">
                  <c:v>0.26645503999999998</c:v>
                </c:pt>
                <c:pt idx="2">
                  <c:v>0.26497607999999995</c:v>
                </c:pt>
                <c:pt idx="3">
                  <c:v>0.26447048000000001</c:v>
                </c:pt>
                <c:pt idx="4">
                  <c:v>0.26636036000000002</c:v>
                </c:pt>
                <c:pt idx="5">
                  <c:v>0.26869178000000005</c:v>
                </c:pt>
                <c:pt idx="6">
                  <c:v>0.26929019999999998</c:v>
                </c:pt>
                <c:pt idx="7">
                  <c:v>0.26608337999999998</c:v>
                </c:pt>
                <c:pt idx="8">
                  <c:v>0.26712276000000001</c:v>
                </c:pt>
                <c:pt idx="9">
                  <c:v>0.27199131999999998</c:v>
                </c:pt>
                <c:pt idx="10">
                  <c:v>0.26946172000000002</c:v>
                </c:pt>
                <c:pt idx="11">
                  <c:v>0.26945886000000002</c:v>
                </c:pt>
                <c:pt idx="12">
                  <c:v>0.26988935999999997</c:v>
                </c:pt>
                <c:pt idx="13">
                  <c:v>0.27238824</c:v>
                </c:pt>
                <c:pt idx="14">
                  <c:v>0.27241524</c:v>
                </c:pt>
                <c:pt idx="15">
                  <c:v>0.27315188000000001</c:v>
                </c:pt>
                <c:pt idx="16">
                  <c:v>0.27652254000000004</c:v>
                </c:pt>
                <c:pt idx="17">
                  <c:v>0.27762248</c:v>
                </c:pt>
                <c:pt idx="18">
                  <c:v>0.27660276</c:v>
                </c:pt>
                <c:pt idx="19">
                  <c:v>0.27606317999999996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9-4E56-8FEC-D8BD835F1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913664"/>
        <c:axId val="972916064"/>
      </c:barChart>
      <c:catAx>
        <c:axId val="97291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16064"/>
        <c:crosses val="autoZero"/>
        <c:auto val="1"/>
        <c:lblAlgn val="ctr"/>
        <c:lblOffset val="100"/>
        <c:noMultiLvlLbl val="0"/>
      </c:catAx>
      <c:valAx>
        <c:axId val="9729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1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discretionary time per quintile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wellbeing!$B$195:$F$195</c:f>
              <c:numCache>
                <c:formatCode>0.00</c:formatCode>
                <c:ptCount val="5"/>
                <c:pt idx="0">
                  <c:v>8.6610506500000017</c:v>
                </c:pt>
                <c:pt idx="1">
                  <c:v>8.521386399999999</c:v>
                </c:pt>
                <c:pt idx="2">
                  <c:v>8.2966329499999993</c:v>
                </c:pt>
                <c:pt idx="3">
                  <c:v>8.131102600000002</c:v>
                </c:pt>
                <c:pt idx="4">
                  <c:v>8.0637830999999984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0-4EE7-B05E-44A234DB0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764432"/>
        <c:axId val="1672762992"/>
      </c:barChart>
      <c:catAx>
        <c:axId val="1672764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762992"/>
        <c:crosses val="autoZero"/>
        <c:auto val="1"/>
        <c:lblAlgn val="ctr"/>
        <c:lblOffset val="100"/>
        <c:noMultiLvlLbl val="0"/>
      </c:catAx>
      <c:valAx>
        <c:axId val="16727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76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discretionary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wellbeing!$A$175:$A$194</c:f>
              <c:strCache>
                <c:ptCount val="20"/>
                <c:pt idx="0">
                  <c:v>Piemonte</c:v>
                </c:pt>
                <c:pt idx="1">
                  <c:v>Valle d'Aosta</c:v>
                </c:pt>
                <c:pt idx="2">
                  <c:v>Lombardia</c:v>
                </c:pt>
                <c:pt idx="3">
                  <c:v>Trentino</c:v>
                </c:pt>
                <c:pt idx="4">
                  <c:v>Veneto</c:v>
                </c:pt>
                <c:pt idx="5">
                  <c:v>Friuli</c:v>
                </c:pt>
                <c:pt idx="6">
                  <c:v>Liguria</c:v>
                </c:pt>
                <c:pt idx="7">
                  <c:v>Emilia Romagna</c:v>
                </c:pt>
                <c:pt idx="8">
                  <c:v>Toscana</c:v>
                </c:pt>
                <c:pt idx="9">
                  <c:v>Umbria</c:v>
                </c:pt>
                <c:pt idx="10">
                  <c:v>Marche</c:v>
                </c:pt>
                <c:pt idx="11">
                  <c:v>Lazio</c:v>
                </c:pt>
                <c:pt idx="12">
                  <c:v>Abruzzo</c:v>
                </c:pt>
                <c:pt idx="13">
                  <c:v>Molise</c:v>
                </c:pt>
                <c:pt idx="14">
                  <c:v>Campania</c:v>
                </c:pt>
                <c:pt idx="15">
                  <c:v>Puglia</c:v>
                </c:pt>
                <c:pt idx="16">
                  <c:v>Basilicata</c:v>
                </c:pt>
                <c:pt idx="17">
                  <c:v>Calabria</c:v>
                </c:pt>
                <c:pt idx="18">
                  <c:v>Sicilia</c:v>
                </c:pt>
                <c:pt idx="19">
                  <c:v>Sardegna</c:v>
                </c:pt>
              </c:strCache>
            </c:strRef>
          </c:cat>
          <c:val>
            <c:numRef>
              <c:f>wellbeing!$G$175:$G$194</c:f>
              <c:numCache>
                <c:formatCode>0.00</c:formatCode>
                <c:ptCount val="20"/>
                <c:pt idx="0">
                  <c:v>8.0903311999999978</c:v>
                </c:pt>
                <c:pt idx="1">
                  <c:v>7.6324608000000014</c:v>
                </c:pt>
                <c:pt idx="2">
                  <c:v>8.0131285999999999</c:v>
                </c:pt>
                <c:pt idx="3">
                  <c:v>8.0684372000000018</c:v>
                </c:pt>
                <c:pt idx="4">
                  <c:v>7.9668693999999984</c:v>
                </c:pt>
                <c:pt idx="5">
                  <c:v>8.0736790000000003</c:v>
                </c:pt>
                <c:pt idx="6">
                  <c:v>8.8074007999999999</c:v>
                </c:pt>
                <c:pt idx="7">
                  <c:v>7.7913984000000003</c:v>
                </c:pt>
                <c:pt idx="8">
                  <c:v>7.964935800000001</c:v>
                </c:pt>
                <c:pt idx="9">
                  <c:v>8.0613741999999995</c:v>
                </c:pt>
                <c:pt idx="10">
                  <c:v>7.8142329999999998</c:v>
                </c:pt>
                <c:pt idx="11">
                  <c:v>8.4320252000000018</c:v>
                </c:pt>
                <c:pt idx="12">
                  <c:v>8.4740694000000012</c:v>
                </c:pt>
                <c:pt idx="13">
                  <c:v>8.8601984000000016</c:v>
                </c:pt>
                <c:pt idx="14">
                  <c:v>9.0313292000000018</c:v>
                </c:pt>
                <c:pt idx="15">
                  <c:v>8.5881498000000001</c:v>
                </c:pt>
                <c:pt idx="16">
                  <c:v>8.9983831999999992</c:v>
                </c:pt>
                <c:pt idx="17">
                  <c:v>8.6305353999999994</c:v>
                </c:pt>
                <c:pt idx="18">
                  <c:v>9.1375512000000008</c:v>
                </c:pt>
                <c:pt idx="19">
                  <c:v>8.2593326000000005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C-478D-AB96-4242C0A18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913664"/>
        <c:axId val="972916064"/>
      </c:barChart>
      <c:catAx>
        <c:axId val="97291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16064"/>
        <c:crosses val="autoZero"/>
        <c:auto val="1"/>
        <c:lblAlgn val="ctr"/>
        <c:lblOffset val="100"/>
        <c:noMultiLvlLbl val="0"/>
      </c:catAx>
      <c:valAx>
        <c:axId val="9729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1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environmental satisfaction per quintile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wellbeing!$B$171:$F$171</c:f>
              <c:numCache>
                <c:formatCode>0.00</c:formatCode>
                <c:ptCount val="5"/>
                <c:pt idx="0">
                  <c:v>2.8619244500000001</c:v>
                </c:pt>
                <c:pt idx="1">
                  <c:v>2.8743439500000001</c:v>
                </c:pt>
                <c:pt idx="2">
                  <c:v>2.8703496500000001</c:v>
                </c:pt>
                <c:pt idx="3">
                  <c:v>2.8803674500000005</c:v>
                </c:pt>
                <c:pt idx="4">
                  <c:v>2.8759457500000001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D-4721-94F3-EC90C5138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764432"/>
        <c:axId val="1672762992"/>
      </c:barChart>
      <c:catAx>
        <c:axId val="1672764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762992"/>
        <c:crosses val="autoZero"/>
        <c:auto val="1"/>
        <c:lblAlgn val="ctr"/>
        <c:lblOffset val="100"/>
        <c:noMultiLvlLbl val="0"/>
      </c:catAx>
      <c:valAx>
        <c:axId val="16727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76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environmental satisfaction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wellbeing!$A$151:$A$170</c:f>
              <c:strCache>
                <c:ptCount val="20"/>
                <c:pt idx="0">
                  <c:v>Piemonte</c:v>
                </c:pt>
                <c:pt idx="1">
                  <c:v>Valle d'Aosta</c:v>
                </c:pt>
                <c:pt idx="2">
                  <c:v>Lombardia</c:v>
                </c:pt>
                <c:pt idx="3">
                  <c:v>Trentino</c:v>
                </c:pt>
                <c:pt idx="4">
                  <c:v>Veneto</c:v>
                </c:pt>
                <c:pt idx="5">
                  <c:v>Friuli</c:v>
                </c:pt>
                <c:pt idx="6">
                  <c:v>Liguria</c:v>
                </c:pt>
                <c:pt idx="7">
                  <c:v>Emilia Romagna</c:v>
                </c:pt>
                <c:pt idx="8">
                  <c:v>Toscana</c:v>
                </c:pt>
                <c:pt idx="9">
                  <c:v>Umbria</c:v>
                </c:pt>
                <c:pt idx="10">
                  <c:v>Marche</c:v>
                </c:pt>
                <c:pt idx="11">
                  <c:v>Lazio</c:v>
                </c:pt>
                <c:pt idx="12">
                  <c:v>Abruzzo</c:v>
                </c:pt>
                <c:pt idx="13">
                  <c:v>Molise</c:v>
                </c:pt>
                <c:pt idx="14">
                  <c:v>Campania</c:v>
                </c:pt>
                <c:pt idx="15">
                  <c:v>Puglia</c:v>
                </c:pt>
                <c:pt idx="16">
                  <c:v>Basilicata</c:v>
                </c:pt>
                <c:pt idx="17">
                  <c:v>Calabria</c:v>
                </c:pt>
                <c:pt idx="18">
                  <c:v>Sicilia</c:v>
                </c:pt>
                <c:pt idx="19">
                  <c:v>Sardegna</c:v>
                </c:pt>
              </c:strCache>
            </c:strRef>
          </c:cat>
          <c:val>
            <c:numRef>
              <c:f>wellbeing!$G$151:$G$170</c:f>
              <c:numCache>
                <c:formatCode>0.00</c:formatCode>
                <c:ptCount val="20"/>
                <c:pt idx="0">
                  <c:v>2.8799114000000001</c:v>
                </c:pt>
                <c:pt idx="1">
                  <c:v>3.1189176000000005</c:v>
                </c:pt>
                <c:pt idx="2">
                  <c:v>2.8361054000000001</c:v>
                </c:pt>
                <c:pt idx="3">
                  <c:v>3.1916295999999997</c:v>
                </c:pt>
                <c:pt idx="4">
                  <c:v>2.9003632000000001</c:v>
                </c:pt>
                <c:pt idx="5">
                  <c:v>3.0488299999999997</c:v>
                </c:pt>
                <c:pt idx="6">
                  <c:v>2.8538726000000003</c:v>
                </c:pt>
                <c:pt idx="7">
                  <c:v>2.8659882000000003</c:v>
                </c:pt>
                <c:pt idx="8">
                  <c:v>2.933872</c:v>
                </c:pt>
                <c:pt idx="9">
                  <c:v>3.0117051999999997</c:v>
                </c:pt>
                <c:pt idx="10">
                  <c:v>2.92259</c:v>
                </c:pt>
                <c:pt idx="11">
                  <c:v>2.7067492</c:v>
                </c:pt>
                <c:pt idx="12">
                  <c:v>2.9521953999999999</c:v>
                </c:pt>
                <c:pt idx="13">
                  <c:v>2.9630479999999997</c:v>
                </c:pt>
                <c:pt idx="14">
                  <c:v>2.5137791999999997</c:v>
                </c:pt>
                <c:pt idx="15">
                  <c:v>2.6183648000000002</c:v>
                </c:pt>
                <c:pt idx="16">
                  <c:v>2.8270244</c:v>
                </c:pt>
                <c:pt idx="17">
                  <c:v>2.6960395999999998</c:v>
                </c:pt>
                <c:pt idx="18">
                  <c:v>2.7351771999999999</c:v>
                </c:pt>
                <c:pt idx="19">
                  <c:v>2.8755619999999995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2-46CA-8941-9A3C620BE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913664"/>
        <c:axId val="972916064"/>
      </c:barChart>
      <c:catAx>
        <c:axId val="97291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16064"/>
        <c:crosses val="autoZero"/>
        <c:auto val="1"/>
        <c:lblAlgn val="ctr"/>
        <c:lblOffset val="100"/>
        <c:noMultiLvlLbl val="0"/>
      </c:catAx>
      <c:valAx>
        <c:axId val="9729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1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neighborhood quality</a:t>
            </a:r>
            <a:r>
              <a:rPr lang="en-US" baseline="0"/>
              <a:t> </a:t>
            </a:r>
            <a:r>
              <a:rPr lang="en-US"/>
              <a:t>per quintile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wellbeing!$B$147:$F$147</c:f>
              <c:numCache>
                <c:formatCode>0.00</c:formatCode>
                <c:ptCount val="5"/>
                <c:pt idx="0">
                  <c:v>2.9455017999999997</c:v>
                </c:pt>
                <c:pt idx="1">
                  <c:v>2.9376235500000005</c:v>
                </c:pt>
                <c:pt idx="2">
                  <c:v>2.9127725500000006</c:v>
                </c:pt>
                <c:pt idx="3">
                  <c:v>2.9083632499999998</c:v>
                </c:pt>
                <c:pt idx="4">
                  <c:v>2.8927986000000003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3-429A-8C10-9E3459B61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764432"/>
        <c:axId val="1672762992"/>
      </c:barChart>
      <c:catAx>
        <c:axId val="1672764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762992"/>
        <c:crosses val="autoZero"/>
        <c:auto val="1"/>
        <c:lblAlgn val="ctr"/>
        <c:lblOffset val="100"/>
        <c:noMultiLvlLbl val="0"/>
      </c:catAx>
      <c:valAx>
        <c:axId val="16727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76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neighborhood quality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wellbeing!$A$127:$A$146</c:f>
              <c:strCache>
                <c:ptCount val="20"/>
                <c:pt idx="0">
                  <c:v>Piemonte</c:v>
                </c:pt>
                <c:pt idx="1">
                  <c:v>Valle d'Aosta</c:v>
                </c:pt>
                <c:pt idx="2">
                  <c:v>Lombardia</c:v>
                </c:pt>
                <c:pt idx="3">
                  <c:v>Trentino</c:v>
                </c:pt>
                <c:pt idx="4">
                  <c:v>Veneto</c:v>
                </c:pt>
                <c:pt idx="5">
                  <c:v>Friuli</c:v>
                </c:pt>
                <c:pt idx="6">
                  <c:v>Liguria</c:v>
                </c:pt>
                <c:pt idx="7">
                  <c:v>Emilia Romagna</c:v>
                </c:pt>
                <c:pt idx="8">
                  <c:v>Toscana</c:v>
                </c:pt>
                <c:pt idx="9">
                  <c:v>Umbria</c:v>
                </c:pt>
                <c:pt idx="10">
                  <c:v>Marche</c:v>
                </c:pt>
                <c:pt idx="11">
                  <c:v>Lazio</c:v>
                </c:pt>
                <c:pt idx="12">
                  <c:v>Abruzzo</c:v>
                </c:pt>
                <c:pt idx="13">
                  <c:v>Molise</c:v>
                </c:pt>
                <c:pt idx="14">
                  <c:v>Campania</c:v>
                </c:pt>
                <c:pt idx="15">
                  <c:v>Puglia</c:v>
                </c:pt>
                <c:pt idx="16">
                  <c:v>Basilicata</c:v>
                </c:pt>
                <c:pt idx="17">
                  <c:v>Calabria</c:v>
                </c:pt>
                <c:pt idx="18">
                  <c:v>Sicilia</c:v>
                </c:pt>
                <c:pt idx="19">
                  <c:v>Sardegna</c:v>
                </c:pt>
              </c:strCache>
            </c:strRef>
          </c:cat>
          <c:val>
            <c:numRef>
              <c:f>wellbeing!$G$127:$G$146</c:f>
              <c:numCache>
                <c:formatCode>0.00</c:formatCode>
                <c:ptCount val="20"/>
                <c:pt idx="0">
                  <c:v>2.9563618000000003</c:v>
                </c:pt>
                <c:pt idx="1">
                  <c:v>3.1813712000000001</c:v>
                </c:pt>
                <c:pt idx="2">
                  <c:v>2.8321905999999997</c:v>
                </c:pt>
                <c:pt idx="3">
                  <c:v>3.1948192</c:v>
                </c:pt>
                <c:pt idx="4">
                  <c:v>2.9088368</c:v>
                </c:pt>
                <c:pt idx="5">
                  <c:v>3.0352215999999999</c:v>
                </c:pt>
                <c:pt idx="6">
                  <c:v>2.810317</c:v>
                </c:pt>
                <c:pt idx="7">
                  <c:v>2.8659152000000003</c:v>
                </c:pt>
                <c:pt idx="8">
                  <c:v>2.9010275999999999</c:v>
                </c:pt>
                <c:pt idx="9">
                  <c:v>3.0004271999999998</c:v>
                </c:pt>
                <c:pt idx="10">
                  <c:v>2.9165090000000005</c:v>
                </c:pt>
                <c:pt idx="11">
                  <c:v>2.6744648</c:v>
                </c:pt>
                <c:pt idx="12">
                  <c:v>2.9906961999999999</c:v>
                </c:pt>
                <c:pt idx="13">
                  <c:v>3.0843400000000001</c:v>
                </c:pt>
                <c:pt idx="14">
                  <c:v>2.6777883999999998</c:v>
                </c:pt>
                <c:pt idx="15">
                  <c:v>2.711408</c:v>
                </c:pt>
                <c:pt idx="16">
                  <c:v>2.9036812000000003</c:v>
                </c:pt>
                <c:pt idx="17">
                  <c:v>2.9002493999999999</c:v>
                </c:pt>
                <c:pt idx="18">
                  <c:v>2.9024183999999997</c:v>
                </c:pt>
                <c:pt idx="19">
                  <c:v>2.9401953999999999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8-4894-A23F-A25F6AD52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913664"/>
        <c:axId val="972916064"/>
      </c:barChart>
      <c:catAx>
        <c:axId val="97291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16064"/>
        <c:crosses val="autoZero"/>
        <c:auto val="1"/>
        <c:lblAlgn val="ctr"/>
        <c:lblOffset val="100"/>
        <c:noMultiLvlLbl val="0"/>
      </c:catAx>
      <c:valAx>
        <c:axId val="9729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1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access to</a:t>
            </a:r>
            <a:r>
              <a:rPr lang="en-US" baseline="0"/>
              <a:t> public services and offices </a:t>
            </a:r>
            <a:r>
              <a:rPr lang="en-US"/>
              <a:t>per quintile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wellbeing!$B$123:$F$123</c:f>
              <c:numCache>
                <c:formatCode>0.00</c:formatCode>
                <c:ptCount val="5"/>
                <c:pt idx="0">
                  <c:v>2.4483502499999998</c:v>
                </c:pt>
                <c:pt idx="1">
                  <c:v>2.4561706000000001</c:v>
                </c:pt>
                <c:pt idx="2">
                  <c:v>2.4784207499999997</c:v>
                </c:pt>
                <c:pt idx="3">
                  <c:v>2.4769677999999997</c:v>
                </c:pt>
                <c:pt idx="4">
                  <c:v>2.4918035999999999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4-4252-9A2E-40FFF2597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764432"/>
        <c:axId val="1672762992"/>
      </c:barChart>
      <c:catAx>
        <c:axId val="1672764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762992"/>
        <c:crosses val="autoZero"/>
        <c:auto val="1"/>
        <c:lblAlgn val="ctr"/>
        <c:lblOffset val="100"/>
        <c:noMultiLvlLbl val="0"/>
      </c:catAx>
      <c:valAx>
        <c:axId val="16727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76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access</a:t>
            </a:r>
            <a:r>
              <a:rPr lang="en-US" baseline="0"/>
              <a:t> to public services and offices </a:t>
            </a:r>
            <a:r>
              <a:rPr lang="en-US"/>
              <a:t>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wellbeing!$A$103:$A$122</c:f>
              <c:strCache>
                <c:ptCount val="20"/>
                <c:pt idx="0">
                  <c:v>Piemonte</c:v>
                </c:pt>
                <c:pt idx="1">
                  <c:v>Valle d'Aosta</c:v>
                </c:pt>
                <c:pt idx="2">
                  <c:v>Lombardia</c:v>
                </c:pt>
                <c:pt idx="3">
                  <c:v>Trentino</c:v>
                </c:pt>
                <c:pt idx="4">
                  <c:v>Veneto</c:v>
                </c:pt>
                <c:pt idx="5">
                  <c:v>Friuli</c:v>
                </c:pt>
                <c:pt idx="6">
                  <c:v>Liguria</c:v>
                </c:pt>
                <c:pt idx="7">
                  <c:v>Emilia Romagna</c:v>
                </c:pt>
                <c:pt idx="8">
                  <c:v>Toscana</c:v>
                </c:pt>
                <c:pt idx="9">
                  <c:v>Umbria</c:v>
                </c:pt>
                <c:pt idx="10">
                  <c:v>Marche</c:v>
                </c:pt>
                <c:pt idx="11">
                  <c:v>Lazio</c:v>
                </c:pt>
                <c:pt idx="12">
                  <c:v>Abruzzo</c:v>
                </c:pt>
                <c:pt idx="13">
                  <c:v>Molise</c:v>
                </c:pt>
                <c:pt idx="14">
                  <c:v>Campania</c:v>
                </c:pt>
                <c:pt idx="15">
                  <c:v>Puglia</c:v>
                </c:pt>
                <c:pt idx="16">
                  <c:v>Basilicata</c:v>
                </c:pt>
                <c:pt idx="17">
                  <c:v>Calabria</c:v>
                </c:pt>
                <c:pt idx="18">
                  <c:v>Sicilia</c:v>
                </c:pt>
                <c:pt idx="19">
                  <c:v>Sardegna</c:v>
                </c:pt>
              </c:strCache>
            </c:strRef>
          </c:cat>
          <c:val>
            <c:numRef>
              <c:f>wellbeing!$G$103:$G$122</c:f>
              <c:numCache>
                <c:formatCode>0.00</c:formatCode>
                <c:ptCount val="20"/>
                <c:pt idx="0">
                  <c:v>2.5100120000000006</c:v>
                </c:pt>
                <c:pt idx="1">
                  <c:v>2.6352228000000002</c:v>
                </c:pt>
                <c:pt idx="2">
                  <c:v>2.5900053999999999</c:v>
                </c:pt>
                <c:pt idx="3">
                  <c:v>2.6869153999999997</c:v>
                </c:pt>
                <c:pt idx="4">
                  <c:v>2.5435667999999998</c:v>
                </c:pt>
                <c:pt idx="5">
                  <c:v>2.5061612000000002</c:v>
                </c:pt>
                <c:pt idx="6">
                  <c:v>2.4882441999999996</c:v>
                </c:pt>
                <c:pt idx="7">
                  <c:v>2.5573632000000002</c:v>
                </c:pt>
                <c:pt idx="8">
                  <c:v>2.5234953999999998</c:v>
                </c:pt>
                <c:pt idx="9">
                  <c:v>2.5176056000000004</c:v>
                </c:pt>
                <c:pt idx="10">
                  <c:v>2.5371511999999998</c:v>
                </c:pt>
                <c:pt idx="11">
                  <c:v>2.3991411999999999</c:v>
                </c:pt>
                <c:pt idx="12">
                  <c:v>2.4162366000000004</c:v>
                </c:pt>
                <c:pt idx="13">
                  <c:v>2.4909418000000003</c:v>
                </c:pt>
                <c:pt idx="14">
                  <c:v>2.2720934000000002</c:v>
                </c:pt>
                <c:pt idx="15">
                  <c:v>2.3279041999999999</c:v>
                </c:pt>
                <c:pt idx="16">
                  <c:v>2.3092438</c:v>
                </c:pt>
                <c:pt idx="17">
                  <c:v>2.2926335999999998</c:v>
                </c:pt>
                <c:pt idx="18">
                  <c:v>2.2930429999999999</c:v>
                </c:pt>
                <c:pt idx="19">
                  <c:v>2.5098712000000001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1-4EEE-B577-E0716A401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913664"/>
        <c:axId val="972916064"/>
      </c:barChart>
      <c:catAx>
        <c:axId val="97291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16064"/>
        <c:crosses val="autoZero"/>
        <c:auto val="1"/>
        <c:lblAlgn val="ctr"/>
        <c:lblOffset val="100"/>
        <c:noMultiLvlLbl val="0"/>
      </c:catAx>
      <c:valAx>
        <c:axId val="9729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1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trust per quintile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wellbeing!$B$99:$F$99</c:f>
              <c:numCache>
                <c:formatCode>0.00</c:formatCode>
                <c:ptCount val="5"/>
                <c:pt idx="0">
                  <c:v>2.5908865500000005</c:v>
                </c:pt>
                <c:pt idx="1">
                  <c:v>2.6244526000000001</c:v>
                </c:pt>
                <c:pt idx="2">
                  <c:v>2.6591677000000002</c:v>
                </c:pt>
                <c:pt idx="3">
                  <c:v>2.6686179000000001</c:v>
                </c:pt>
                <c:pt idx="4">
                  <c:v>2.6839518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A-4584-B9CE-791520651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764432"/>
        <c:axId val="1672762992"/>
      </c:barChart>
      <c:catAx>
        <c:axId val="1672764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762992"/>
        <c:crosses val="autoZero"/>
        <c:auto val="1"/>
        <c:lblAlgn val="ctr"/>
        <c:lblOffset val="100"/>
        <c:noMultiLvlLbl val="0"/>
      </c:catAx>
      <c:valAx>
        <c:axId val="16727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76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trust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wellbeing!$A$79:$A$98</c:f>
              <c:strCache>
                <c:ptCount val="20"/>
                <c:pt idx="0">
                  <c:v>Piemonte</c:v>
                </c:pt>
                <c:pt idx="1">
                  <c:v>Valle d'Aosta</c:v>
                </c:pt>
                <c:pt idx="2">
                  <c:v>Lombardia</c:v>
                </c:pt>
                <c:pt idx="3">
                  <c:v>Trentino</c:v>
                </c:pt>
                <c:pt idx="4">
                  <c:v>Veneto</c:v>
                </c:pt>
                <c:pt idx="5">
                  <c:v>Friuli</c:v>
                </c:pt>
                <c:pt idx="6">
                  <c:v>Liguria</c:v>
                </c:pt>
                <c:pt idx="7">
                  <c:v>Emilia Romagna</c:v>
                </c:pt>
                <c:pt idx="8">
                  <c:v>Toscana</c:v>
                </c:pt>
                <c:pt idx="9">
                  <c:v>Umbria</c:v>
                </c:pt>
                <c:pt idx="10">
                  <c:v>Marche</c:v>
                </c:pt>
                <c:pt idx="11">
                  <c:v>Lazio</c:v>
                </c:pt>
                <c:pt idx="12">
                  <c:v>Abruzzo</c:v>
                </c:pt>
                <c:pt idx="13">
                  <c:v>Molise</c:v>
                </c:pt>
                <c:pt idx="14">
                  <c:v>Campania</c:v>
                </c:pt>
                <c:pt idx="15">
                  <c:v>Puglia</c:v>
                </c:pt>
                <c:pt idx="16">
                  <c:v>Basilicata</c:v>
                </c:pt>
                <c:pt idx="17">
                  <c:v>Calabria</c:v>
                </c:pt>
                <c:pt idx="18">
                  <c:v>Sicilia</c:v>
                </c:pt>
                <c:pt idx="19">
                  <c:v>Sardegna</c:v>
                </c:pt>
              </c:strCache>
            </c:strRef>
          </c:cat>
          <c:val>
            <c:numRef>
              <c:f>wellbeing!$G$79:$G$98</c:f>
              <c:numCache>
                <c:formatCode>0.00</c:formatCode>
                <c:ptCount val="20"/>
                <c:pt idx="0">
                  <c:v>2.7213415999999997</c:v>
                </c:pt>
                <c:pt idx="1">
                  <c:v>2.7961906000000001</c:v>
                </c:pt>
                <c:pt idx="2">
                  <c:v>2.7766828000000001</c:v>
                </c:pt>
                <c:pt idx="3">
                  <c:v>2.9027498</c:v>
                </c:pt>
                <c:pt idx="4">
                  <c:v>2.7082096</c:v>
                </c:pt>
                <c:pt idx="5">
                  <c:v>2.81257</c:v>
                </c:pt>
                <c:pt idx="6">
                  <c:v>2.6893676000000002</c:v>
                </c:pt>
                <c:pt idx="7">
                  <c:v>2.7414580000000002</c:v>
                </c:pt>
                <c:pt idx="8">
                  <c:v>2.7265617999999998</c:v>
                </c:pt>
                <c:pt idx="9">
                  <c:v>2.5584955999999996</c:v>
                </c:pt>
                <c:pt idx="10">
                  <c:v>2.6900880000000003</c:v>
                </c:pt>
                <c:pt idx="11">
                  <c:v>2.5601316000000001</c:v>
                </c:pt>
                <c:pt idx="12">
                  <c:v>2.5489666</c:v>
                </c:pt>
                <c:pt idx="13">
                  <c:v>2.6079999999999997</c:v>
                </c:pt>
                <c:pt idx="14">
                  <c:v>2.4296633999999999</c:v>
                </c:pt>
                <c:pt idx="15">
                  <c:v>2.4444227999999999</c:v>
                </c:pt>
                <c:pt idx="16">
                  <c:v>2.4484892</c:v>
                </c:pt>
                <c:pt idx="17">
                  <c:v>2.5662355999999997</c:v>
                </c:pt>
                <c:pt idx="18">
                  <c:v>2.4812041999999996</c:v>
                </c:pt>
                <c:pt idx="19">
                  <c:v>2.6974773999999995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F-4F47-8EAA-35551135E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913664"/>
        <c:axId val="972916064"/>
      </c:barChart>
      <c:catAx>
        <c:axId val="97291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16064"/>
        <c:crosses val="autoZero"/>
        <c:auto val="1"/>
        <c:lblAlgn val="ctr"/>
        <c:lblOffset val="100"/>
        <c:noMultiLvlLbl val="0"/>
      </c:catAx>
      <c:valAx>
        <c:axId val="9729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1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relationship strength per quintile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wellbeing!$B$75:$F$75</c:f>
              <c:numCache>
                <c:formatCode>0.00</c:formatCode>
                <c:ptCount val="5"/>
                <c:pt idx="0">
                  <c:v>1.6977801499999998</c:v>
                </c:pt>
                <c:pt idx="1">
                  <c:v>1.7055854499999998</c:v>
                </c:pt>
                <c:pt idx="2">
                  <c:v>1.7294417000000002</c:v>
                </c:pt>
                <c:pt idx="3">
                  <c:v>1.7397672999999998</c:v>
                </c:pt>
                <c:pt idx="4">
                  <c:v>1.7580645000000001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2-423D-A434-F7569A7B8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764432"/>
        <c:axId val="1672762992"/>
      </c:barChart>
      <c:catAx>
        <c:axId val="1672764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762992"/>
        <c:crosses val="autoZero"/>
        <c:auto val="1"/>
        <c:lblAlgn val="ctr"/>
        <c:lblOffset val="100"/>
        <c:noMultiLvlLbl val="0"/>
      </c:catAx>
      <c:valAx>
        <c:axId val="16727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76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relationship strength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wellbeing!$A$55:$A$74</c:f>
              <c:strCache>
                <c:ptCount val="20"/>
                <c:pt idx="0">
                  <c:v>Piemonte</c:v>
                </c:pt>
                <c:pt idx="1">
                  <c:v>Valle d'Aosta</c:v>
                </c:pt>
                <c:pt idx="2">
                  <c:v>Lombardia</c:v>
                </c:pt>
                <c:pt idx="3">
                  <c:v>Trentino</c:v>
                </c:pt>
                <c:pt idx="4">
                  <c:v>Veneto</c:v>
                </c:pt>
                <c:pt idx="5">
                  <c:v>Friuli</c:v>
                </c:pt>
                <c:pt idx="6">
                  <c:v>Liguria</c:v>
                </c:pt>
                <c:pt idx="7">
                  <c:v>Emilia Romagna</c:v>
                </c:pt>
                <c:pt idx="8">
                  <c:v>Toscana</c:v>
                </c:pt>
                <c:pt idx="9">
                  <c:v>Umbria</c:v>
                </c:pt>
                <c:pt idx="10">
                  <c:v>Marche</c:v>
                </c:pt>
                <c:pt idx="11">
                  <c:v>Lazio</c:v>
                </c:pt>
                <c:pt idx="12">
                  <c:v>Abruzzo</c:v>
                </c:pt>
                <c:pt idx="13">
                  <c:v>Molise</c:v>
                </c:pt>
                <c:pt idx="14">
                  <c:v>Campania</c:v>
                </c:pt>
                <c:pt idx="15">
                  <c:v>Puglia</c:v>
                </c:pt>
                <c:pt idx="16">
                  <c:v>Basilicata</c:v>
                </c:pt>
                <c:pt idx="17">
                  <c:v>Calabria</c:v>
                </c:pt>
                <c:pt idx="18">
                  <c:v>Sicilia</c:v>
                </c:pt>
                <c:pt idx="19">
                  <c:v>Sardegna</c:v>
                </c:pt>
              </c:strCache>
            </c:strRef>
          </c:cat>
          <c:val>
            <c:numRef>
              <c:f>wellbeing!$G$55:$G$74</c:f>
              <c:numCache>
                <c:formatCode>0.00</c:formatCode>
                <c:ptCount val="20"/>
                <c:pt idx="0">
                  <c:v>1.7103978000000002</c:v>
                </c:pt>
                <c:pt idx="1">
                  <c:v>1.7732818000000001</c:v>
                </c:pt>
                <c:pt idx="2">
                  <c:v>1.6916389999999999</c:v>
                </c:pt>
                <c:pt idx="3">
                  <c:v>1.8370957999999997</c:v>
                </c:pt>
                <c:pt idx="4">
                  <c:v>1.7130406</c:v>
                </c:pt>
                <c:pt idx="5">
                  <c:v>1.663945</c:v>
                </c:pt>
                <c:pt idx="6">
                  <c:v>1.7391946</c:v>
                </c:pt>
                <c:pt idx="7">
                  <c:v>1.6589506000000001</c:v>
                </c:pt>
                <c:pt idx="8">
                  <c:v>1.7056282</c:v>
                </c:pt>
                <c:pt idx="9">
                  <c:v>1.7074263999999999</c:v>
                </c:pt>
                <c:pt idx="10">
                  <c:v>1.677076</c:v>
                </c:pt>
                <c:pt idx="11">
                  <c:v>1.7297837999999999</c:v>
                </c:pt>
                <c:pt idx="12">
                  <c:v>1.7540082000000001</c:v>
                </c:pt>
                <c:pt idx="13">
                  <c:v>1.7542340000000003</c:v>
                </c:pt>
                <c:pt idx="14">
                  <c:v>1.7092500000000002</c:v>
                </c:pt>
                <c:pt idx="15">
                  <c:v>1.6912658</c:v>
                </c:pt>
                <c:pt idx="16">
                  <c:v>1.6840579999999998</c:v>
                </c:pt>
                <c:pt idx="17">
                  <c:v>1.8333504</c:v>
                </c:pt>
                <c:pt idx="18">
                  <c:v>1.7321709999999999</c:v>
                </c:pt>
                <c:pt idx="19">
                  <c:v>1.7567594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A-475D-A3E5-A2ECC3FA5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913664"/>
        <c:axId val="972916064"/>
      </c:barChart>
      <c:catAx>
        <c:axId val="97291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16064"/>
        <c:crosses val="autoZero"/>
        <c:auto val="1"/>
        <c:lblAlgn val="ctr"/>
        <c:lblOffset val="100"/>
        <c:noMultiLvlLbl val="0"/>
      </c:catAx>
      <c:valAx>
        <c:axId val="9729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1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112059</xdr:colOff>
      <xdr:row>247</xdr:row>
      <xdr:rowOff>134471</xdr:rowOff>
    </xdr:from>
    <xdr:to>
      <xdr:col>16</xdr:col>
      <xdr:colOff>381000</xdr:colOff>
      <xdr:row>263</xdr:row>
      <xdr:rowOff>8965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6EFB98-11E8-A9D0-4E0E-DF16568E8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524435</xdr:colOff>
      <xdr:row>247</xdr:row>
      <xdr:rowOff>143436</xdr:rowOff>
    </xdr:from>
    <xdr:to>
      <xdr:col>23</xdr:col>
      <xdr:colOff>461682</xdr:colOff>
      <xdr:row>263</xdr:row>
      <xdr:rowOff>17930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0A8072-59C6-8661-D0B1-3192918DD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443753</xdr:colOff>
      <xdr:row>222</xdr:row>
      <xdr:rowOff>17930</xdr:rowOff>
    </xdr:from>
    <xdr:to>
      <xdr:col>16</xdr:col>
      <xdr:colOff>103094</xdr:colOff>
      <xdr:row>237</xdr:row>
      <xdr:rowOff>71718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2E796F-4F7A-4081-8FE5-FC0B8F15F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246529</xdr:colOff>
      <xdr:row>222</xdr:row>
      <xdr:rowOff>26895</xdr:rowOff>
    </xdr:from>
    <xdr:to>
      <xdr:col>23</xdr:col>
      <xdr:colOff>183776</xdr:colOff>
      <xdr:row>237</xdr:row>
      <xdr:rowOff>80683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E364E6-1166-437F-B7A0-2B772D7E0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528917</xdr:colOff>
      <xdr:row>176</xdr:row>
      <xdr:rowOff>8964</xdr:rowOff>
    </xdr:from>
    <xdr:to>
      <xdr:col>16</xdr:col>
      <xdr:colOff>188258</xdr:colOff>
      <xdr:row>191</xdr:row>
      <xdr:rowOff>62753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220A2DC-A226-4D78-A23E-8060EEECC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331693</xdr:colOff>
      <xdr:row>176</xdr:row>
      <xdr:rowOff>17929</xdr:rowOff>
    </xdr:from>
    <xdr:to>
      <xdr:col>23</xdr:col>
      <xdr:colOff>268940</xdr:colOff>
      <xdr:row>191</xdr:row>
      <xdr:rowOff>71718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914D61D-5D18-44F8-A9C5-506487F3F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44824</xdr:colOff>
      <xdr:row>152</xdr:row>
      <xdr:rowOff>71718</xdr:rowOff>
    </xdr:from>
    <xdr:to>
      <xdr:col>16</xdr:col>
      <xdr:colOff>313765</xdr:colOff>
      <xdr:row>167</xdr:row>
      <xdr:rowOff>125507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0B271B4-A83C-4E83-BD19-3C42F5ACD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457200</xdr:colOff>
      <xdr:row>152</xdr:row>
      <xdr:rowOff>80683</xdr:rowOff>
    </xdr:from>
    <xdr:to>
      <xdr:col>23</xdr:col>
      <xdr:colOff>394447</xdr:colOff>
      <xdr:row>167</xdr:row>
      <xdr:rowOff>134472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B4267B7-C785-46A3-9BFC-DF2827227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304801</xdr:colOff>
      <xdr:row>128</xdr:row>
      <xdr:rowOff>26894</xdr:rowOff>
    </xdr:from>
    <xdr:to>
      <xdr:col>15</xdr:col>
      <xdr:colOff>582707</xdr:colOff>
      <xdr:row>143</xdr:row>
      <xdr:rowOff>80683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30F0989-7C7A-4C75-A64B-7842519F1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107577</xdr:colOff>
      <xdr:row>128</xdr:row>
      <xdr:rowOff>35859</xdr:rowOff>
    </xdr:from>
    <xdr:to>
      <xdr:col>23</xdr:col>
      <xdr:colOff>44824</xdr:colOff>
      <xdr:row>143</xdr:row>
      <xdr:rowOff>89648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A5AA732-122D-4661-A5BD-76BF05C28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125507</xdr:colOff>
      <xdr:row>105</xdr:row>
      <xdr:rowOff>53788</xdr:rowOff>
    </xdr:from>
    <xdr:to>
      <xdr:col>15</xdr:col>
      <xdr:colOff>403413</xdr:colOff>
      <xdr:row>120</xdr:row>
      <xdr:rowOff>107578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2674569-B2ED-45B1-A262-C5732F53B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546848</xdr:colOff>
      <xdr:row>105</xdr:row>
      <xdr:rowOff>62753</xdr:rowOff>
    </xdr:from>
    <xdr:to>
      <xdr:col>22</xdr:col>
      <xdr:colOff>475130</xdr:colOff>
      <xdr:row>120</xdr:row>
      <xdr:rowOff>116543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0E73123-88BB-4516-B916-1E93E890F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44824</xdr:colOff>
      <xdr:row>80</xdr:row>
      <xdr:rowOff>116542</xdr:rowOff>
    </xdr:from>
    <xdr:to>
      <xdr:col>15</xdr:col>
      <xdr:colOff>322730</xdr:colOff>
      <xdr:row>95</xdr:row>
      <xdr:rowOff>170332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9D78977-8446-46C5-B94A-29448E847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466165</xdr:colOff>
      <xdr:row>80</xdr:row>
      <xdr:rowOff>125507</xdr:rowOff>
    </xdr:from>
    <xdr:to>
      <xdr:col>22</xdr:col>
      <xdr:colOff>394447</xdr:colOff>
      <xdr:row>96</xdr:row>
      <xdr:rowOff>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A4698D4-CE6E-405B-93F0-A91D9E716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421341</xdr:colOff>
      <xdr:row>55</xdr:row>
      <xdr:rowOff>80683</xdr:rowOff>
    </xdr:from>
    <xdr:to>
      <xdr:col>16</xdr:col>
      <xdr:colOff>80682</xdr:colOff>
      <xdr:row>70</xdr:row>
      <xdr:rowOff>134473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EDFD30A-B000-49C8-AC0E-D446F6F26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224117</xdr:colOff>
      <xdr:row>55</xdr:row>
      <xdr:rowOff>89648</xdr:rowOff>
    </xdr:from>
    <xdr:to>
      <xdr:col>23</xdr:col>
      <xdr:colOff>161364</xdr:colOff>
      <xdr:row>70</xdr:row>
      <xdr:rowOff>143438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7CD11C4-B7DB-4DE7-B964-C50243BBC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15EB-CA9D-4ED5-B528-DA344EA70727}">
  <dimension ref="A1:AG268"/>
  <sheetViews>
    <sheetView tabSelected="1" topLeftCell="A17" zoomScale="85" zoomScaleNormal="85" workbookViewId="0">
      <selection activeCell="S30" sqref="S30"/>
    </sheetView>
  </sheetViews>
  <sheetFormatPr defaultRowHeight="14.4" x14ac:dyDescent="0.3"/>
  <cols>
    <col min="1" max="1" width="13.77734375" customWidth="1"/>
    <col min="2" max="2" width="9.77734375" bestFit="1" customWidth="1"/>
    <col min="13" max="18" width="9" bestFit="1" customWidth="1"/>
    <col min="19" max="19" width="9" customWidth="1"/>
    <col min="20" max="20" width="9" bestFit="1" customWidth="1"/>
  </cols>
  <sheetData>
    <row r="1" spans="1:33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2"/>
    </row>
    <row r="2" spans="1:33" x14ac:dyDescent="0.3">
      <c r="B2" s="19" t="s">
        <v>1</v>
      </c>
      <c r="C2" s="19" t="s">
        <v>2</v>
      </c>
      <c r="D2" s="19" t="s">
        <v>3</v>
      </c>
      <c r="E2" s="23" t="s">
        <v>4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 t="s">
        <v>79</v>
      </c>
      <c r="AA2" s="23"/>
      <c r="AB2" s="23"/>
      <c r="AC2" s="23"/>
      <c r="AD2" s="23"/>
      <c r="AE2" s="23"/>
      <c r="AF2" s="23"/>
      <c r="AG2" s="23"/>
    </row>
    <row r="3" spans="1:33" ht="28.8" x14ac:dyDescent="0.3">
      <c r="B3" s="1" t="s">
        <v>5</v>
      </c>
      <c r="C3" s="2" t="s">
        <v>6</v>
      </c>
      <c r="D3" s="2" t="s">
        <v>7</v>
      </c>
      <c r="E3" s="2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25</v>
      </c>
      <c r="W3" s="1" t="s">
        <v>26</v>
      </c>
      <c r="X3" s="1" t="s">
        <v>27</v>
      </c>
      <c r="Y3" s="1" t="s">
        <v>28</v>
      </c>
      <c r="Z3" s="16" t="s">
        <v>29</v>
      </c>
      <c r="AA3" s="16" t="s">
        <v>30</v>
      </c>
      <c r="AB3" s="16" t="s">
        <v>31</v>
      </c>
      <c r="AC3" s="16" t="s">
        <v>32</v>
      </c>
      <c r="AD3" s="16" t="s">
        <v>33</v>
      </c>
      <c r="AE3" s="16" t="s">
        <v>34</v>
      </c>
      <c r="AF3" s="16" t="s">
        <v>36</v>
      </c>
      <c r="AG3" s="16" t="s">
        <v>35</v>
      </c>
    </row>
    <row r="4" spans="1:33" x14ac:dyDescent="0.3">
      <c r="A4" s="1" t="s">
        <v>8</v>
      </c>
      <c r="B4" s="3">
        <v>-8.6263534949476001E-2</v>
      </c>
      <c r="C4" s="4">
        <v>4.9640264137987999E-2</v>
      </c>
      <c r="D4" s="4">
        <v>-4.1943486969440004E-3</v>
      </c>
      <c r="E4">
        <v>-5.0336194082480001E-3</v>
      </c>
      <c r="F4">
        <v>2.4177069056629998E-3</v>
      </c>
      <c r="G4">
        <v>-2.5781441631453E-2</v>
      </c>
      <c r="H4">
        <v>2.2291864051700002E-3</v>
      </c>
      <c r="I4">
        <v>9.8069901868999998E-5</v>
      </c>
      <c r="J4">
        <v>2.1605548978330001E-3</v>
      </c>
      <c r="K4">
        <v>2.5524537555759999E-3</v>
      </c>
      <c r="L4" s="5">
        <v>6.4197035939999998E-6</v>
      </c>
      <c r="M4">
        <v>3.9453217920000001E-5</v>
      </c>
      <c r="N4">
        <v>2.0517828150429999E-3</v>
      </c>
      <c r="O4">
        <v>5.4467121078000001E-5</v>
      </c>
      <c r="P4" s="5">
        <v>4.4925831665499998E-4</v>
      </c>
      <c r="Q4">
        <v>-6.7721627922239999E-3</v>
      </c>
      <c r="R4">
        <v>-9.5504373937000005E-4</v>
      </c>
      <c r="S4">
        <v>1.4629164751900001E-3</v>
      </c>
      <c r="T4">
        <v>2.5140278306921001E-2</v>
      </c>
      <c r="U4" s="5">
        <v>1.40783259115E-4</v>
      </c>
      <c r="V4" s="5">
        <v>1.2144659903400001E-4</v>
      </c>
      <c r="W4">
        <v>6.2836261768199999E-4</v>
      </c>
      <c r="X4">
        <v>-2.4976570072349998E-3</v>
      </c>
      <c r="Y4" s="4">
        <v>1.486783470226E-3</v>
      </c>
      <c r="Z4" s="17">
        <v>3.1260369939700001E-4</v>
      </c>
      <c r="AA4">
        <v>-3.2518952695699999E-4</v>
      </c>
      <c r="AB4">
        <v>-1.119727472692E-3</v>
      </c>
      <c r="AC4">
        <v>2.4633762469299998E-4</v>
      </c>
      <c r="AD4">
        <v>-4.6220244654199998E-4</v>
      </c>
      <c r="AE4">
        <v>4.0861468259100001E-4</v>
      </c>
      <c r="AF4">
        <v>-1.8190068475E-5</v>
      </c>
      <c r="AG4" s="4">
        <v>1.0532044948118E-2</v>
      </c>
    </row>
    <row r="5" spans="1:33" x14ac:dyDescent="0.3">
      <c r="A5" s="1" t="s">
        <v>9</v>
      </c>
      <c r="B5" s="3">
        <v>9.7283416424074995E-2</v>
      </c>
      <c r="C5" s="4">
        <v>-1.4010965501415E-2</v>
      </c>
      <c r="D5" s="4">
        <v>2.7178299789200002E-4</v>
      </c>
      <c r="E5">
        <v>2.4177069056629998E-3</v>
      </c>
      <c r="F5">
        <v>-2.182512569834E-3</v>
      </c>
      <c r="G5">
        <v>1.2845064194119999E-2</v>
      </c>
      <c r="H5">
        <v>-8.1797545094199997E-4</v>
      </c>
      <c r="I5">
        <v>4.0694257765799997E-4</v>
      </c>
      <c r="J5">
        <v>-1.1815278771309999E-3</v>
      </c>
      <c r="K5">
        <v>-1.395842924577E-3</v>
      </c>
      <c r="L5" s="5">
        <v>-3.5108575019999999E-6</v>
      </c>
      <c r="M5">
        <v>-2.6877672714420001E-3</v>
      </c>
      <c r="N5" s="5">
        <v>-9.2837956555199999E-4</v>
      </c>
      <c r="O5">
        <v>2.4847706149099999E-4</v>
      </c>
      <c r="P5">
        <v>1.8779042018E-4</v>
      </c>
      <c r="Q5">
        <v>3.2924610946649998E-3</v>
      </c>
      <c r="R5">
        <v>9.8107952573700009E-4</v>
      </c>
      <c r="S5">
        <v>2.5013010895599998E-4</v>
      </c>
      <c r="T5">
        <v>-1.1365934301141E-2</v>
      </c>
      <c r="U5">
        <v>-2.6045754815999999E-4</v>
      </c>
      <c r="V5" s="5">
        <v>-7.4945618262999995E-5</v>
      </c>
      <c r="W5">
        <v>-4.5331126388599999E-4</v>
      </c>
      <c r="X5">
        <v>1.169353930263E-3</v>
      </c>
      <c r="Y5" s="4">
        <v>-4.4683616784300001E-4</v>
      </c>
      <c r="Z5" s="17">
        <v>-4.7809301671900001E-4</v>
      </c>
      <c r="AA5">
        <v>2.36071451222E-4</v>
      </c>
      <c r="AB5">
        <v>-8.1006417443999998E-5</v>
      </c>
      <c r="AC5">
        <v>9.4941912482000005E-5</v>
      </c>
      <c r="AD5">
        <v>-4.1333925125000002E-5</v>
      </c>
      <c r="AE5">
        <v>6.4056721875E-5</v>
      </c>
      <c r="AF5">
        <v>3.4436734489999999E-6</v>
      </c>
      <c r="AG5" s="4">
        <v>1.1696067411695E-2</v>
      </c>
    </row>
    <row r="6" spans="1:33" x14ac:dyDescent="0.3">
      <c r="A6" s="1" t="s">
        <v>10</v>
      </c>
      <c r="B6" s="3">
        <v>-0.59654979942336495</v>
      </c>
      <c r="C6" s="4">
        <v>0.245299434571319</v>
      </c>
      <c r="D6" s="4">
        <v>-1.6173723938522001E-2</v>
      </c>
      <c r="E6">
        <v>-2.5781441631453E-2</v>
      </c>
      <c r="F6">
        <v>1.2845064194119999E-2</v>
      </c>
      <c r="G6">
        <v>-0.127515228911143</v>
      </c>
      <c r="H6">
        <v>1.1496227456352001E-2</v>
      </c>
      <c r="I6">
        <v>-9.6069431285300002E-4</v>
      </c>
      <c r="J6">
        <v>1.2406156052421E-2</v>
      </c>
      <c r="K6">
        <v>1.4656484609595E-2</v>
      </c>
      <c r="L6" s="5">
        <v>3.6862524094999997E-5</v>
      </c>
      <c r="M6">
        <v>-2.4362081540990001E-3</v>
      </c>
      <c r="N6">
        <v>1.1191698283963001E-2</v>
      </c>
      <c r="O6">
        <v>-5.9128601728200005E-4</v>
      </c>
      <c r="P6" s="5">
        <v>2.1321139529949999E-3</v>
      </c>
      <c r="Q6">
        <v>-3.5511263107180002E-2</v>
      </c>
      <c r="R6">
        <v>-8.5631625081300008E-3</v>
      </c>
      <c r="S6">
        <v>6.5646108798220002E-3</v>
      </c>
      <c r="T6">
        <v>0.13717107918215701</v>
      </c>
      <c r="U6">
        <v>-9.5759143051599995E-4</v>
      </c>
      <c r="V6" s="5">
        <v>4.5317262773799999E-4</v>
      </c>
      <c r="W6">
        <v>2.1460476689439999E-3</v>
      </c>
      <c r="X6">
        <v>-1.3594837026129E-2</v>
      </c>
      <c r="Y6" s="4">
        <v>4.8121959561510004E-3</v>
      </c>
      <c r="Z6" s="17">
        <v>1.518029975526E-3</v>
      </c>
      <c r="AA6">
        <v>-2.3113601893199999E-3</v>
      </c>
      <c r="AB6">
        <v>-4.0360122128849998E-3</v>
      </c>
      <c r="AC6">
        <v>-8.22943454055E-4</v>
      </c>
      <c r="AD6">
        <v>-1.3369977865679999E-3</v>
      </c>
      <c r="AE6">
        <v>1.4653821757819999E-3</v>
      </c>
      <c r="AF6">
        <v>-8.9877909646999998E-5</v>
      </c>
      <c r="AG6" s="4">
        <v>1.775057236339E-3</v>
      </c>
    </row>
    <row r="7" spans="1:33" x14ac:dyDescent="0.3">
      <c r="A7" s="1" t="s">
        <v>11</v>
      </c>
      <c r="B7" s="3">
        <v>8.8094106068037997E-2</v>
      </c>
      <c r="C7" s="4">
        <v>-1.7688077460407001E-2</v>
      </c>
      <c r="D7" s="4">
        <v>1.56065829905E-3</v>
      </c>
      <c r="E7">
        <v>2.2291864051700002E-3</v>
      </c>
      <c r="F7">
        <v>-8.1797545094199997E-4</v>
      </c>
      <c r="G7">
        <v>1.1496227456352001E-2</v>
      </c>
      <c r="H7">
        <v>3.2458213615540001E-3</v>
      </c>
      <c r="I7">
        <v>4.1760569018949997E-3</v>
      </c>
      <c r="J7">
        <v>-4.4294488179399998E-4</v>
      </c>
      <c r="K7">
        <v>-5.2328979383099998E-4</v>
      </c>
      <c r="L7" s="5">
        <v>-1.316143664E-6</v>
      </c>
      <c r="M7">
        <v>-2.09942190382E-4</v>
      </c>
      <c r="N7">
        <v>-1.7745353921190001E-3</v>
      </c>
      <c r="O7">
        <v>2.5584000176370001E-3</v>
      </c>
      <c r="P7">
        <v>-1.449998954749E-3</v>
      </c>
      <c r="Q7">
        <v>1.8614010017760001E-3</v>
      </c>
      <c r="R7">
        <v>-7.5440137984900005E-4</v>
      </c>
      <c r="S7" s="5">
        <v>-2.7987684691599998E-4</v>
      </c>
      <c r="T7">
        <v>-2.1860112222467001E-2</v>
      </c>
      <c r="U7">
        <v>1.1285451940780001E-3</v>
      </c>
      <c r="V7" s="5">
        <v>4.1377012970000002E-6</v>
      </c>
      <c r="W7">
        <v>3.7607187757499999E-4</v>
      </c>
      <c r="X7">
        <v>1.8232668398949999E-3</v>
      </c>
      <c r="Y7" s="4">
        <v>-7.8471912932600002E-4</v>
      </c>
      <c r="Z7" s="17">
        <v>8.4839156457000003E-5</v>
      </c>
      <c r="AA7">
        <v>-4.5506021643799998E-4</v>
      </c>
      <c r="AB7">
        <v>-2.09233895885E-4</v>
      </c>
      <c r="AC7">
        <v>1.72341797106E-4</v>
      </c>
      <c r="AD7">
        <v>-3.1662089748499999E-4</v>
      </c>
      <c r="AE7">
        <v>1.00220010923E-4</v>
      </c>
      <c r="AF7">
        <v>-1.5088188362000001E-5</v>
      </c>
      <c r="AG7" s="4">
        <v>-5.0475591271249998E-3</v>
      </c>
    </row>
    <row r="8" spans="1:33" x14ac:dyDescent="0.3">
      <c r="A8" s="1" t="s">
        <v>12</v>
      </c>
      <c r="B8" s="3">
        <v>7.5484369517769996E-3</v>
      </c>
      <c r="C8" s="4">
        <v>-4.6531480315229997E-3</v>
      </c>
      <c r="D8" s="4">
        <v>1.268164281548E-3</v>
      </c>
      <c r="E8">
        <v>9.8069901868999998E-5</v>
      </c>
      <c r="F8">
        <v>4.0694257765799997E-4</v>
      </c>
      <c r="G8">
        <v>-9.6069431285300002E-4</v>
      </c>
      <c r="H8">
        <v>4.1760569018949997E-3</v>
      </c>
      <c r="I8">
        <v>4.2130387895899998E-3</v>
      </c>
      <c r="J8">
        <v>4.6183987097099999E-4</v>
      </c>
      <c r="K8">
        <v>5.4561210840699996E-4</v>
      </c>
      <c r="L8" s="5">
        <v>1.3722985779999999E-6</v>
      </c>
      <c r="M8">
        <v>4.01223435162E-4</v>
      </c>
      <c r="N8">
        <v>-8.52211493985E-4</v>
      </c>
      <c r="O8">
        <v>2.579011856102E-3</v>
      </c>
      <c r="P8">
        <v>-7.7386385747200005E-4</v>
      </c>
      <c r="Q8">
        <v>9.2159693340799998E-4</v>
      </c>
      <c r="R8" s="5">
        <v>-2.0076412935070001E-3</v>
      </c>
      <c r="S8">
        <v>-6.6127773887199998E-4</v>
      </c>
      <c r="T8">
        <v>-1.0499462372371E-2</v>
      </c>
      <c r="U8">
        <v>1.2285753779030001E-3</v>
      </c>
      <c r="V8" s="5">
        <v>-9.31363746E-6</v>
      </c>
      <c r="W8">
        <v>3.29216515956E-4</v>
      </c>
      <c r="X8">
        <v>9.9703993835199996E-4</v>
      </c>
      <c r="Y8" s="4">
        <v>-5.9513184517899997E-4</v>
      </c>
      <c r="Z8" s="17">
        <v>4.7630124391699998E-4</v>
      </c>
      <c r="AA8">
        <v>-7.2634603959599998E-4</v>
      </c>
      <c r="AB8">
        <v>6.3227182831999997E-5</v>
      </c>
      <c r="AC8">
        <v>-1.6529419479000001E-5</v>
      </c>
      <c r="AD8">
        <v>-3.2104613306900001E-4</v>
      </c>
      <c r="AE8">
        <v>-8.1211296619999994E-6</v>
      </c>
      <c r="AF8">
        <v>-1.2556761639E-5</v>
      </c>
      <c r="AG8" s="4">
        <v>-1.7717427450555E-2</v>
      </c>
    </row>
    <row r="9" spans="1:33" x14ac:dyDescent="0.3">
      <c r="A9" s="1" t="s">
        <v>13</v>
      </c>
      <c r="B9" s="3">
        <v>8.1906248072677004E-2</v>
      </c>
      <c r="C9" s="4">
        <v>-1.377438866511E-2</v>
      </c>
      <c r="D9" s="4">
        <v>4.7380161564999999E-4</v>
      </c>
      <c r="E9">
        <v>2.1605548978330001E-3</v>
      </c>
      <c r="F9">
        <v>-1.1815278771309999E-3</v>
      </c>
      <c r="G9">
        <v>1.2406156052421E-2</v>
      </c>
      <c r="H9">
        <v>-4.4294488179399998E-4</v>
      </c>
      <c r="I9">
        <v>4.6183987097099999E-4</v>
      </c>
      <c r="J9">
        <v>-8.5738384870899997E-4</v>
      </c>
      <c r="K9">
        <v>-1.0129030402349999E-3</v>
      </c>
      <c r="L9" s="5">
        <v>-2.5475954859999999E-6</v>
      </c>
      <c r="M9">
        <v>-5.5341441294399997E-4</v>
      </c>
      <c r="N9" s="5">
        <v>-1.0299210181839999E-3</v>
      </c>
      <c r="O9">
        <v>2.8480587689700001E-4</v>
      </c>
      <c r="P9">
        <v>-7.7569556998699995E-4</v>
      </c>
      <c r="Q9">
        <v>1.0943913676299999E-3</v>
      </c>
      <c r="R9">
        <v>1.0086976737950001E-3</v>
      </c>
      <c r="S9">
        <v>3.0494270897200003E-4</v>
      </c>
      <c r="T9">
        <v>-1.2685163774509E-2</v>
      </c>
      <c r="U9" s="5">
        <v>4.6982532825000001E-5</v>
      </c>
      <c r="V9" s="5">
        <v>1.2346132030000001E-5</v>
      </c>
      <c r="W9">
        <v>8.5664744864E-5</v>
      </c>
      <c r="X9">
        <v>9.4325812759400002E-4</v>
      </c>
      <c r="Y9" s="4">
        <v>-2.6813558431300002E-4</v>
      </c>
      <c r="Z9" s="17">
        <v>-3.31432883536E-4</v>
      </c>
      <c r="AA9">
        <v>1.8768466023399999E-4</v>
      </c>
      <c r="AB9">
        <v>-2.5806253619299998E-4</v>
      </c>
      <c r="AC9">
        <v>1.8601211651500001E-4</v>
      </c>
      <c r="AD9">
        <v>-3.1873632302000002E-5</v>
      </c>
      <c r="AE9">
        <v>1.11298016099E-4</v>
      </c>
      <c r="AF9">
        <v>-4.450586421E-6</v>
      </c>
      <c r="AG9" s="4">
        <v>1.0129229729064E-2</v>
      </c>
    </row>
    <row r="10" spans="1:33" x14ac:dyDescent="0.3">
      <c r="A10" s="1" t="s">
        <v>14</v>
      </c>
      <c r="B10" s="3">
        <v>9.6763063372283006E-2</v>
      </c>
      <c r="C10" s="4">
        <v>-1.6272898279187001E-2</v>
      </c>
      <c r="D10" s="4">
        <v>5.5974357072699997E-4</v>
      </c>
      <c r="E10">
        <v>2.5524537555759999E-3</v>
      </c>
      <c r="F10">
        <v>-1.395842924577E-3</v>
      </c>
      <c r="G10">
        <v>1.4656484609595E-2</v>
      </c>
      <c r="H10">
        <v>-5.2328979383099998E-4</v>
      </c>
      <c r="I10">
        <v>5.4561210840699996E-4</v>
      </c>
      <c r="J10">
        <v>-1.0129030402349999E-3</v>
      </c>
      <c r="K10">
        <v>-1.1966315559370001E-3</v>
      </c>
      <c r="L10" s="5">
        <v>-3.0096988849999998E-6</v>
      </c>
      <c r="M10">
        <v>-6.5379717873700004E-4</v>
      </c>
      <c r="N10" s="5">
        <v>-1.216736391862E-3</v>
      </c>
      <c r="O10">
        <v>3.36466261896E-4</v>
      </c>
      <c r="P10">
        <v>-9.1639748325000002E-4</v>
      </c>
      <c r="Q10">
        <v>1.2929008928119999E-3</v>
      </c>
      <c r="R10">
        <v>1.1916633862450001E-3</v>
      </c>
      <c r="S10">
        <v>3.6025567484200002E-4</v>
      </c>
      <c r="T10">
        <v>-1.498610100064E-2</v>
      </c>
      <c r="U10">
        <v>5.5504603227999997E-5</v>
      </c>
      <c r="V10" s="5">
        <v>1.4585572946E-5</v>
      </c>
      <c r="W10">
        <v>1.01203306598E-4</v>
      </c>
      <c r="X10">
        <v>1.1143538878240001E-3</v>
      </c>
      <c r="Y10" s="4">
        <v>-3.1677217731000001E-4</v>
      </c>
      <c r="Z10" s="17">
        <v>-3.9155085073400001E-4</v>
      </c>
      <c r="AA10">
        <v>2.21728416325E-4</v>
      </c>
      <c r="AB10">
        <v>-3.0487199855000003E-4</v>
      </c>
      <c r="AC10">
        <v>2.1975249314800001E-4</v>
      </c>
      <c r="AD10">
        <v>-3.7655128575999997E-5</v>
      </c>
      <c r="AE10">
        <v>1.3148614712999999E-4</v>
      </c>
      <c r="AF10">
        <v>-5.2578696499999999E-6</v>
      </c>
      <c r="AG10" s="4">
        <v>1.1966551041578E-2</v>
      </c>
    </row>
    <row r="11" spans="1:33" x14ac:dyDescent="0.3">
      <c r="A11" s="1" t="s">
        <v>15</v>
      </c>
      <c r="B11" s="3">
        <v>2.43369982087E-4</v>
      </c>
      <c r="C11" s="6">
        <v>-4.0927676202000003E-5</v>
      </c>
      <c r="D11" s="6">
        <v>1.4077494480000001E-6</v>
      </c>
      <c r="E11" s="5">
        <v>6.4197035939999998E-6</v>
      </c>
      <c r="F11" s="5">
        <v>-3.5108575019999999E-6</v>
      </c>
      <c r="G11" s="5">
        <v>3.6862524094999997E-5</v>
      </c>
      <c r="H11" s="5">
        <v>-1.316143664E-6</v>
      </c>
      <c r="I11" s="5">
        <v>1.3722985779999999E-6</v>
      </c>
      <c r="J11" s="5">
        <v>-2.5475954859999999E-6</v>
      </c>
      <c r="K11" s="5">
        <v>-3.0096988849999998E-6</v>
      </c>
      <c r="L11" s="5">
        <v>-7.5698220000000005E-9</v>
      </c>
      <c r="M11" s="5">
        <v>-1.6447720840000001E-6</v>
      </c>
      <c r="N11" s="5">
        <v>-3.0601924049999998E-6</v>
      </c>
      <c r="O11" s="5">
        <v>8.4626389000000004E-7</v>
      </c>
      <c r="P11" s="5">
        <v>-2.3046741039999998E-6</v>
      </c>
      <c r="Q11" s="5">
        <v>3.252103435E-6</v>
      </c>
      <c r="R11" s="5">
        <v>2.9971288839999998E-6</v>
      </c>
      <c r="S11" s="5">
        <v>9.0608481299999996E-7</v>
      </c>
      <c r="T11" s="5">
        <v>-3.7691269845999999E-5</v>
      </c>
      <c r="U11" s="5">
        <v>1.3955144099999999E-7</v>
      </c>
      <c r="V11" s="5">
        <v>3.6669967000000003E-8</v>
      </c>
      <c r="W11" s="5">
        <v>2.5445041699999998E-7</v>
      </c>
      <c r="X11" s="5">
        <v>2.8027410190000001E-6</v>
      </c>
      <c r="Y11" s="6">
        <v>-7.9673925600000003E-7</v>
      </c>
      <c r="Z11" s="17">
        <v>-9.8482124000000005E-7</v>
      </c>
      <c r="AA11">
        <v>5.5767769799999996E-7</v>
      </c>
      <c r="AB11">
        <v>-7.6676801400000003E-7</v>
      </c>
      <c r="AC11">
        <v>5.5268962199999996E-7</v>
      </c>
      <c r="AD11">
        <v>-9.4714047999999999E-8</v>
      </c>
      <c r="AE11">
        <v>3.3069457499999998E-7</v>
      </c>
      <c r="AF11">
        <v>-1.3222803E-8</v>
      </c>
      <c r="AG11" s="4">
        <v>3.0097409416E-5</v>
      </c>
    </row>
    <row r="12" spans="1:33" x14ac:dyDescent="0.3">
      <c r="A12" s="1" t="s">
        <v>16</v>
      </c>
      <c r="B12" s="3">
        <v>4.1356892339639998E-3</v>
      </c>
      <c r="C12" s="4">
        <v>7.6190404940510003E-3</v>
      </c>
      <c r="D12" s="4">
        <v>-1.127039698305E-3</v>
      </c>
      <c r="E12">
        <v>3.9453217920000001E-5</v>
      </c>
      <c r="F12">
        <v>-2.6877672714420001E-3</v>
      </c>
      <c r="G12">
        <v>-2.4362081540990001E-3</v>
      </c>
      <c r="H12">
        <v>-2.09942190382E-4</v>
      </c>
      <c r="I12">
        <v>4.01223435162E-4</v>
      </c>
      <c r="J12">
        <v>-5.5341441294399997E-4</v>
      </c>
      <c r="K12">
        <v>-6.5379717873700004E-4</v>
      </c>
      <c r="L12" s="5">
        <v>-1.6447720840000001E-6</v>
      </c>
      <c r="M12">
        <v>-6.7743645904049998E-3</v>
      </c>
      <c r="N12">
        <v>5.6405024583700003E-4</v>
      </c>
      <c r="O12">
        <v>2.36676301436E-4</v>
      </c>
      <c r="P12">
        <v>2.816142083307E-3</v>
      </c>
      <c r="Q12">
        <v>5.3434704268189998E-3</v>
      </c>
      <c r="R12">
        <v>-6.0569271864300005E-4</v>
      </c>
      <c r="S12">
        <v>1.4867979814E-5</v>
      </c>
      <c r="T12">
        <v>7.1251440547470003E-3</v>
      </c>
      <c r="U12">
        <v>-8.2858245228300002E-4</v>
      </c>
      <c r="V12">
        <v>-2.4336677385199999E-4</v>
      </c>
      <c r="W12">
        <v>-1.4743472607149999E-3</v>
      </c>
      <c r="X12">
        <v>3.1162511148200001E-4</v>
      </c>
      <c r="Y12" s="4">
        <v>-3.8351846335600001E-4</v>
      </c>
      <c r="Z12" s="17">
        <v>-4.6815430237900002E-4</v>
      </c>
      <c r="AA12">
        <v>1.02755968759E-4</v>
      </c>
      <c r="AB12">
        <v>3.1920218812600001E-4</v>
      </c>
      <c r="AC12">
        <v>-2.08270246363E-4</v>
      </c>
      <c r="AD12">
        <v>-1.21248721536E-4</v>
      </c>
      <c r="AE12">
        <v>-1.24586891457E-4</v>
      </c>
      <c r="AF12">
        <v>2.1924641863999999E-5</v>
      </c>
      <c r="AG12" s="4">
        <v>3.4292632879400001E-3</v>
      </c>
    </row>
    <row r="13" spans="1:33" x14ac:dyDescent="0.3">
      <c r="A13" s="1" t="s">
        <v>17</v>
      </c>
      <c r="B13" s="3">
        <v>0.109141792175155</v>
      </c>
      <c r="C13" s="4">
        <v>-1.9949336894352999E-2</v>
      </c>
      <c r="D13" s="4">
        <v>9.7009225383900004E-4</v>
      </c>
      <c r="E13">
        <v>2.0517828150429999E-3</v>
      </c>
      <c r="F13" s="5">
        <v>-9.2837956555199999E-4</v>
      </c>
      <c r="G13">
        <v>1.1191698283963001E-2</v>
      </c>
      <c r="H13">
        <v>-1.7745353921190001E-3</v>
      </c>
      <c r="I13">
        <v>-8.52211493985E-4</v>
      </c>
      <c r="J13" s="5">
        <v>-1.0299210181839999E-3</v>
      </c>
      <c r="K13" s="5">
        <v>-1.216736391862E-3</v>
      </c>
      <c r="L13" s="5">
        <v>-3.0601924049999998E-6</v>
      </c>
      <c r="M13">
        <v>5.6405024583700003E-4</v>
      </c>
      <c r="N13" s="5">
        <v>-8.4355241040300001E-4</v>
      </c>
      <c r="O13">
        <v>-5.2008009563199995E-4</v>
      </c>
      <c r="P13" s="5">
        <v>-7.4348706816000003E-5</v>
      </c>
      <c r="Q13">
        <v>2.3949571649340001E-3</v>
      </c>
      <c r="R13">
        <v>1.4182601405040001E-3</v>
      </c>
      <c r="S13">
        <v>-3.5203575092400001E-4</v>
      </c>
      <c r="T13" s="5">
        <v>-1.0347213846975E-2</v>
      </c>
      <c r="U13" s="5">
        <v>-1.3833049893099999E-4</v>
      </c>
      <c r="V13" s="5">
        <v>-3.2831543407999999E-5</v>
      </c>
      <c r="W13" s="5">
        <v>-2.3807530757599999E-4</v>
      </c>
      <c r="X13">
        <v>1.0759219383899999E-3</v>
      </c>
      <c r="Y13" s="4">
        <v>-3.4535837320700001E-4</v>
      </c>
      <c r="Z13" s="17">
        <v>-6.1299259384999994E-5</v>
      </c>
      <c r="AA13">
        <v>8.1829316320999998E-5</v>
      </c>
      <c r="AB13">
        <v>2.7206967686000001E-4</v>
      </c>
      <c r="AC13">
        <v>-6.9358586830999995E-5</v>
      </c>
      <c r="AD13">
        <v>1.5400122152099999E-4</v>
      </c>
      <c r="AE13">
        <v>-3.9588474489999999E-5</v>
      </c>
      <c r="AF13">
        <v>5.8179310479999998E-6</v>
      </c>
      <c r="AG13" s="4">
        <v>9.614850552691E-3</v>
      </c>
    </row>
    <row r="14" spans="1:33" x14ac:dyDescent="0.3">
      <c r="A14" s="1" t="s">
        <v>18</v>
      </c>
      <c r="B14" s="3">
        <v>4.5636747852479996E-3</v>
      </c>
      <c r="C14" s="4">
        <v>-2.7605042809709999E-3</v>
      </c>
      <c r="D14" s="4">
        <v>7.5562188764900003E-4</v>
      </c>
      <c r="E14">
        <v>5.4467121078000001E-5</v>
      </c>
      <c r="F14">
        <v>2.4847706149099999E-4</v>
      </c>
      <c r="G14">
        <v>-5.9128601728200005E-4</v>
      </c>
      <c r="H14">
        <v>2.5584000176370001E-3</v>
      </c>
      <c r="I14">
        <v>2.579011856102E-3</v>
      </c>
      <c r="J14">
        <v>2.8480587689700001E-4</v>
      </c>
      <c r="K14">
        <v>3.36466261896E-4</v>
      </c>
      <c r="L14" s="5">
        <v>8.4626389000000004E-7</v>
      </c>
      <c r="M14">
        <v>2.36676301436E-4</v>
      </c>
      <c r="N14">
        <v>-5.2008009563199995E-4</v>
      </c>
      <c r="O14">
        <v>1.5787054816269999E-3</v>
      </c>
      <c r="P14">
        <v>-4.7038795652299997E-4</v>
      </c>
      <c r="Q14" s="5">
        <v>5.3627694347100003E-4</v>
      </c>
      <c r="R14">
        <v>-1.2203875507339999E-3</v>
      </c>
      <c r="S14">
        <v>-4.0498298452500001E-4</v>
      </c>
      <c r="T14">
        <v>-6.4082646398639998E-3</v>
      </c>
      <c r="U14">
        <v>7.5071312777799995E-4</v>
      </c>
      <c r="V14" s="5">
        <v>-5.6558343630000004E-6</v>
      </c>
      <c r="W14">
        <v>2.01822825738E-4</v>
      </c>
      <c r="X14">
        <v>6.1365971528400001E-4</v>
      </c>
      <c r="Y14" s="4">
        <v>-3.5928377540400002E-4</v>
      </c>
      <c r="Z14" s="17">
        <v>2.8777692579100002E-4</v>
      </c>
      <c r="AA14">
        <v>-4.4539235976300001E-4</v>
      </c>
      <c r="AB14">
        <v>3.3084550195000003E-5</v>
      </c>
      <c r="AC14">
        <v>-8.8915674429999995E-6</v>
      </c>
      <c r="AD14">
        <v>-1.9766389522200001E-4</v>
      </c>
      <c r="AE14">
        <v>-7.3236260320000001E-6</v>
      </c>
      <c r="AF14">
        <v>-7.3963196490000003E-6</v>
      </c>
      <c r="AG14" s="4">
        <v>-1.0496667721888999E-2</v>
      </c>
    </row>
    <row r="15" spans="1:33" x14ac:dyDescent="0.3">
      <c r="A15" s="1" t="s">
        <v>19</v>
      </c>
      <c r="B15" s="3">
        <v>-2.5663933730410001E-3</v>
      </c>
      <c r="C15" s="4">
        <v>-6.8877936903790002E-3</v>
      </c>
      <c r="D15" s="4">
        <v>7.8861492113100002E-4</v>
      </c>
      <c r="E15" s="5">
        <v>4.4925831665499998E-4</v>
      </c>
      <c r="F15">
        <v>1.8779042018E-4</v>
      </c>
      <c r="G15" s="5">
        <v>2.1321139529949999E-3</v>
      </c>
      <c r="H15">
        <v>-1.449998954749E-3</v>
      </c>
      <c r="I15">
        <v>-7.7386385747200005E-4</v>
      </c>
      <c r="J15">
        <v>-7.7569556998699995E-4</v>
      </c>
      <c r="K15">
        <v>-9.1639748325000002E-4</v>
      </c>
      <c r="L15" s="5">
        <v>-2.3046741039999998E-6</v>
      </c>
      <c r="M15">
        <v>2.816142083307E-3</v>
      </c>
      <c r="N15" s="5">
        <v>-7.4348706816000003E-5</v>
      </c>
      <c r="O15">
        <v>-4.7038795652299997E-4</v>
      </c>
      <c r="P15">
        <v>-8.6126624917459999E-3</v>
      </c>
      <c r="Q15">
        <v>3.2758793391039999E-3</v>
      </c>
      <c r="R15">
        <v>2.203599877553E-3</v>
      </c>
      <c r="S15">
        <v>-7.7003389616000007E-5</v>
      </c>
      <c r="T15">
        <v>-8.2442980992299998E-4</v>
      </c>
      <c r="U15">
        <v>3.2622590849E-4</v>
      </c>
      <c r="V15" s="5">
        <v>8.8749308884000002E-5</v>
      </c>
      <c r="W15" s="5">
        <v>4.9507745063300001E-4</v>
      </c>
      <c r="X15">
        <v>1.4863750421970001E-3</v>
      </c>
      <c r="Y15" s="4">
        <v>5.1586973621699998E-4</v>
      </c>
      <c r="Z15" s="17">
        <v>7.8027707221000001E-5</v>
      </c>
      <c r="AA15">
        <v>1.0736353569500001E-4</v>
      </c>
      <c r="AB15">
        <v>-2.1478583145500001E-4</v>
      </c>
      <c r="AC15">
        <v>-1.20234823499E-4</v>
      </c>
      <c r="AD15">
        <v>8.9121569526999999E-5</v>
      </c>
      <c r="AE15">
        <v>-3.7495537023000002E-5</v>
      </c>
      <c r="AF15">
        <v>1.1791066566000001E-5</v>
      </c>
      <c r="AG15" s="4">
        <v>7.0425512383379997E-3</v>
      </c>
    </row>
    <row r="16" spans="1:33" x14ac:dyDescent="0.3">
      <c r="A16" s="1" t="s">
        <v>20</v>
      </c>
      <c r="B16" s="3">
        <v>-9.9754722295451001E-2</v>
      </c>
      <c r="C16" s="4">
        <v>2.6804629452763001E-2</v>
      </c>
      <c r="D16" s="4">
        <v>-5.5961055538599998E-4</v>
      </c>
      <c r="E16">
        <v>-6.7721627922239999E-3</v>
      </c>
      <c r="F16">
        <v>3.2924610946649998E-3</v>
      </c>
      <c r="G16">
        <v>-3.5511263107180002E-2</v>
      </c>
      <c r="H16">
        <v>1.8614010017760001E-3</v>
      </c>
      <c r="I16">
        <v>9.2159693340799998E-4</v>
      </c>
      <c r="J16">
        <v>1.0943913676299999E-3</v>
      </c>
      <c r="K16">
        <v>1.2929008928119999E-3</v>
      </c>
      <c r="L16" s="5">
        <v>3.252103435E-6</v>
      </c>
      <c r="M16">
        <v>5.3434704268189998E-3</v>
      </c>
      <c r="N16">
        <v>2.3949571649340001E-3</v>
      </c>
      <c r="O16" s="5">
        <v>5.3627694347100003E-4</v>
      </c>
      <c r="P16">
        <v>3.2758793391039999E-3</v>
      </c>
      <c r="Q16">
        <v>-1.3674865236771E-2</v>
      </c>
      <c r="R16">
        <v>-7.6704468563100004E-4</v>
      </c>
      <c r="S16">
        <v>4.9200137226299999E-4</v>
      </c>
      <c r="T16">
        <v>2.9180422526832998E-2</v>
      </c>
      <c r="U16">
        <v>1.5686034707049999E-3</v>
      </c>
      <c r="V16">
        <v>3.2852843929999999E-4</v>
      </c>
      <c r="W16">
        <v>2.0543578361520002E-3</v>
      </c>
      <c r="X16">
        <v>1.2830544959660001E-3</v>
      </c>
      <c r="Y16" s="4">
        <v>1.8017713958059999E-3</v>
      </c>
      <c r="Z16" s="17">
        <v>-9.6878535099999998E-5</v>
      </c>
      <c r="AA16">
        <v>1.3692495575039999E-3</v>
      </c>
      <c r="AB16">
        <v>1.9376014248930001E-3</v>
      </c>
      <c r="AC16">
        <v>1.480372554578E-3</v>
      </c>
      <c r="AD16">
        <v>3.4536510759799999E-4</v>
      </c>
      <c r="AE16">
        <v>-1.181647521268E-3</v>
      </c>
      <c r="AF16">
        <v>2.7140764409E-5</v>
      </c>
      <c r="AG16" s="4">
        <v>-4.9970116050207999E-2</v>
      </c>
    </row>
    <row r="17" spans="1:33" x14ac:dyDescent="0.3">
      <c r="A17" s="1" t="s">
        <v>21</v>
      </c>
      <c r="B17" s="3">
        <v>-5.5667374452350003E-2</v>
      </c>
      <c r="C17" s="4">
        <v>1.6590203026488001E-2</v>
      </c>
      <c r="D17" s="4">
        <v>2.2795038898700001E-4</v>
      </c>
      <c r="E17">
        <v>-9.5504373937000005E-4</v>
      </c>
      <c r="F17">
        <v>9.8107952573700009E-4</v>
      </c>
      <c r="G17">
        <v>-8.5631625081300008E-3</v>
      </c>
      <c r="H17">
        <v>-7.5440137984900005E-4</v>
      </c>
      <c r="I17" s="5">
        <v>-2.0076412935070001E-3</v>
      </c>
      <c r="J17">
        <v>1.0086976737950001E-3</v>
      </c>
      <c r="K17">
        <v>1.1916633862450001E-3</v>
      </c>
      <c r="L17" s="5">
        <v>2.9971288839999998E-6</v>
      </c>
      <c r="M17">
        <v>-6.0569271864300005E-4</v>
      </c>
      <c r="N17">
        <v>1.4182601405040001E-3</v>
      </c>
      <c r="O17">
        <v>-1.2203875507339999E-3</v>
      </c>
      <c r="P17">
        <v>2.203599877553E-3</v>
      </c>
      <c r="Q17">
        <v>-7.6704468563100004E-4</v>
      </c>
      <c r="R17">
        <v>-6.9743381042400004E-3</v>
      </c>
      <c r="S17">
        <v>-1.86938021261E-4</v>
      </c>
      <c r="T17">
        <v>1.7490930940272001E-2</v>
      </c>
      <c r="U17">
        <v>-1.0720547230560001E-3</v>
      </c>
      <c r="V17" s="5">
        <v>-3.7567537963000001E-5</v>
      </c>
      <c r="W17">
        <v>-3.7103237039100002E-4</v>
      </c>
      <c r="X17">
        <v>-1.1655398252290001E-3</v>
      </c>
      <c r="Y17" s="4">
        <v>3.8359667622199999E-4</v>
      </c>
      <c r="Z17" s="17">
        <v>3.7293932716499998E-4</v>
      </c>
      <c r="AA17">
        <v>4.3255369295700001E-4</v>
      </c>
      <c r="AB17">
        <v>1.1261119799229999E-3</v>
      </c>
      <c r="AC17">
        <v>9.6170005028999999E-5</v>
      </c>
      <c r="AD17">
        <v>6.8730952761000006E-5</v>
      </c>
      <c r="AE17">
        <v>3.77703159037E-4</v>
      </c>
      <c r="AF17">
        <v>-3.5561014456000003E-5</v>
      </c>
      <c r="AG17" s="4">
        <v>-4.9318376372457999E-2</v>
      </c>
    </row>
    <row r="18" spans="1:33" x14ac:dyDescent="0.3">
      <c r="A18" s="1" t="s">
        <v>22</v>
      </c>
      <c r="B18" s="3">
        <v>2.7286611090329E-2</v>
      </c>
      <c r="C18" s="4">
        <v>-6.5039815900670003E-3</v>
      </c>
      <c r="D18" s="4">
        <v>1.138852432285E-3</v>
      </c>
      <c r="E18">
        <v>1.4629164751900001E-3</v>
      </c>
      <c r="F18">
        <v>2.5013010895599998E-4</v>
      </c>
      <c r="G18">
        <v>6.5646108798220002E-3</v>
      </c>
      <c r="H18" s="5">
        <v>-2.7987684691599998E-4</v>
      </c>
      <c r="I18">
        <v>-6.6127773887199998E-4</v>
      </c>
      <c r="J18">
        <v>3.0494270897200003E-4</v>
      </c>
      <c r="K18">
        <v>3.6025567484200002E-4</v>
      </c>
      <c r="L18" s="5">
        <v>9.0608481299999996E-7</v>
      </c>
      <c r="M18">
        <v>1.4867979814E-5</v>
      </c>
      <c r="N18">
        <v>-3.5203575092400001E-4</v>
      </c>
      <c r="O18">
        <v>-4.0498298452500001E-4</v>
      </c>
      <c r="P18">
        <v>-7.7003389616000007E-5</v>
      </c>
      <c r="Q18">
        <v>4.9200137226299999E-4</v>
      </c>
      <c r="R18">
        <v>-1.86938021261E-4</v>
      </c>
      <c r="S18">
        <v>-2.2221451622099998E-3</v>
      </c>
      <c r="T18">
        <v>-4.3355262227059996E-3</v>
      </c>
      <c r="U18">
        <v>-3.6393257957700002E-4</v>
      </c>
      <c r="V18" s="5">
        <v>-4.2044163173E-5</v>
      </c>
      <c r="W18">
        <v>-1.15666247281E-4</v>
      </c>
      <c r="X18">
        <v>9.7423038936000005E-5</v>
      </c>
      <c r="Y18" s="6">
        <v>-5.0662118245499996E-4</v>
      </c>
      <c r="Z18" s="17">
        <v>1.7914135019699999E-4</v>
      </c>
      <c r="AA18">
        <v>-4.5341610017500002E-4</v>
      </c>
      <c r="AB18">
        <v>4.28068952748E-4</v>
      </c>
      <c r="AC18">
        <v>-3.9020668048400002E-4</v>
      </c>
      <c r="AD18">
        <v>1.6206197979399999E-4</v>
      </c>
      <c r="AE18">
        <v>3.4170842103000001E-4</v>
      </c>
      <c r="AF18">
        <v>-3.9097389973E-5</v>
      </c>
      <c r="AG18" s="4">
        <v>-2.4604656925195999E-2</v>
      </c>
    </row>
    <row r="19" spans="1:33" x14ac:dyDescent="0.3">
      <c r="A19" s="1" t="s">
        <v>23</v>
      </c>
      <c r="B19" s="3">
        <v>1.34480320512234</v>
      </c>
      <c r="C19" s="4">
        <v>-0.24557574205279101</v>
      </c>
      <c r="D19" s="4">
        <v>1.1964912282763999E-2</v>
      </c>
      <c r="E19">
        <v>2.5140278306921001E-2</v>
      </c>
      <c r="F19">
        <v>-1.1365934301141E-2</v>
      </c>
      <c r="G19">
        <v>0.13717107918215701</v>
      </c>
      <c r="H19">
        <v>-2.1860112222467001E-2</v>
      </c>
      <c r="I19">
        <v>-1.0499462372371E-2</v>
      </c>
      <c r="J19">
        <v>-1.2685163774509E-2</v>
      </c>
      <c r="K19">
        <v>-1.498610100064E-2</v>
      </c>
      <c r="L19" s="5">
        <v>-3.7691269845999999E-5</v>
      </c>
      <c r="M19">
        <v>7.1251440547470003E-3</v>
      </c>
      <c r="N19" s="5">
        <v>-1.0347213846975E-2</v>
      </c>
      <c r="O19">
        <v>-6.4082646398639998E-3</v>
      </c>
      <c r="P19">
        <v>-8.2442980992299998E-4</v>
      </c>
      <c r="Q19">
        <v>2.9180422526832998E-2</v>
      </c>
      <c r="R19">
        <v>1.7490930940272001E-2</v>
      </c>
      <c r="S19">
        <v>-4.3355262227059996E-3</v>
      </c>
      <c r="T19">
        <v>-0.12692701377405599</v>
      </c>
      <c r="U19">
        <v>-1.663060874827E-3</v>
      </c>
      <c r="V19" s="5">
        <v>-3.9587642009399998E-4</v>
      </c>
      <c r="W19">
        <v>-2.8801630471619998E-3</v>
      </c>
      <c r="X19">
        <v>1.3321166095640999E-2</v>
      </c>
      <c r="Y19" s="4">
        <v>-4.2130078013210004E-3</v>
      </c>
      <c r="Z19" s="17">
        <v>-7.59333026437E-4</v>
      </c>
      <c r="AA19">
        <v>1.049373497603E-3</v>
      </c>
      <c r="AB19">
        <v>3.4154522849000001E-3</v>
      </c>
      <c r="AC19">
        <v>-8.1439270030500002E-4</v>
      </c>
      <c r="AD19">
        <v>1.9118038823449999E-3</v>
      </c>
      <c r="AE19">
        <v>-5.2298989149499996E-4</v>
      </c>
      <c r="AF19">
        <v>7.2624150824000005E-5</v>
      </c>
      <c r="AG19" s="4">
        <v>0.11727546391099999</v>
      </c>
    </row>
    <row r="20" spans="1:33" x14ac:dyDescent="0.3">
      <c r="A20" s="1" t="s">
        <v>24</v>
      </c>
      <c r="B20" s="3">
        <v>3.6687692387460001E-3</v>
      </c>
      <c r="C20" s="4">
        <v>-1.7164556292260001E-3</v>
      </c>
      <c r="D20" s="4">
        <v>7.2340903243199996E-4</v>
      </c>
      <c r="E20" s="5">
        <v>1.40783259115E-4</v>
      </c>
      <c r="F20">
        <v>-2.6045754815999999E-4</v>
      </c>
      <c r="G20">
        <v>-9.5759143051599995E-4</v>
      </c>
      <c r="H20">
        <v>1.1285451940780001E-3</v>
      </c>
      <c r="I20">
        <v>1.2285753779030001E-3</v>
      </c>
      <c r="J20" s="5">
        <v>4.6982532825000001E-5</v>
      </c>
      <c r="K20">
        <v>5.5504603227999997E-5</v>
      </c>
      <c r="L20" s="5">
        <v>1.3955144099999999E-7</v>
      </c>
      <c r="M20">
        <v>-8.2858245228300002E-4</v>
      </c>
      <c r="N20" s="5">
        <v>-1.3833049893099999E-4</v>
      </c>
      <c r="O20">
        <v>7.5071312777799995E-4</v>
      </c>
      <c r="P20">
        <v>3.2622590849E-4</v>
      </c>
      <c r="Q20">
        <v>1.5686034707049999E-3</v>
      </c>
      <c r="R20">
        <v>-1.0720547230560001E-3</v>
      </c>
      <c r="S20">
        <v>-3.6393257957700002E-4</v>
      </c>
      <c r="T20">
        <v>-1.663060874827E-3</v>
      </c>
      <c r="U20">
        <v>2.1815079610799999E-4</v>
      </c>
      <c r="V20" s="5">
        <v>-4.5159221888999998E-5</v>
      </c>
      <c r="W20">
        <v>-1.51272116472E-4</v>
      </c>
      <c r="X20">
        <v>3.6811875467900003E-4</v>
      </c>
      <c r="Y20" s="4">
        <v>-3.5190095001800002E-4</v>
      </c>
      <c r="Z20" s="17">
        <v>1.5653884371999999E-4</v>
      </c>
      <c r="AA20">
        <v>-1.7565142599800001E-4</v>
      </c>
      <c r="AB20">
        <v>3.1708265962699999E-4</v>
      </c>
      <c r="AC20">
        <v>-6.1562014429000005E-5</v>
      </c>
      <c r="AD20">
        <v>-7.4465873828000003E-5</v>
      </c>
      <c r="AE20">
        <v>3.9289257424E-5</v>
      </c>
      <c r="AF20">
        <v>-9.6825000069999998E-6</v>
      </c>
      <c r="AG20" s="4">
        <v>-1.6556860405439001E-2</v>
      </c>
    </row>
    <row r="21" spans="1:33" x14ac:dyDescent="0.3">
      <c r="A21" s="1" t="s">
        <v>25</v>
      </c>
      <c r="B21" s="3">
        <v>1.301520135769E-3</v>
      </c>
      <c r="C21" s="4">
        <v>-8.8802370105299999E-4</v>
      </c>
      <c r="D21" s="6">
        <v>9.2523287010000003E-5</v>
      </c>
      <c r="E21" s="5">
        <v>1.2144659903400001E-4</v>
      </c>
      <c r="F21" s="5">
        <v>-7.4945618262999995E-5</v>
      </c>
      <c r="G21" s="5">
        <v>4.5317262773799999E-4</v>
      </c>
      <c r="H21" s="5">
        <v>4.1377012970000002E-6</v>
      </c>
      <c r="I21" s="5">
        <v>-9.31363746E-6</v>
      </c>
      <c r="J21" s="5">
        <v>1.2346132030000001E-5</v>
      </c>
      <c r="K21" s="5">
        <v>1.4585572946E-5</v>
      </c>
      <c r="L21" s="5">
        <v>3.6669967000000003E-8</v>
      </c>
      <c r="M21">
        <v>-2.4336677385199999E-4</v>
      </c>
      <c r="N21" s="5">
        <v>-3.2831543407999999E-5</v>
      </c>
      <c r="O21" s="5">
        <v>-5.6558343630000004E-6</v>
      </c>
      <c r="P21" s="5">
        <v>8.8749308884000002E-5</v>
      </c>
      <c r="Q21">
        <v>3.2852843929999999E-4</v>
      </c>
      <c r="R21" s="5">
        <v>-3.7567537963000001E-5</v>
      </c>
      <c r="S21" s="5">
        <v>-4.2044163173E-5</v>
      </c>
      <c r="T21" s="5">
        <v>-3.9587642009399998E-4</v>
      </c>
      <c r="U21" s="5">
        <v>-4.5159221888999998E-5</v>
      </c>
      <c r="V21" s="5">
        <v>-1.8813710085E-5</v>
      </c>
      <c r="W21">
        <v>-1.13219467853E-4</v>
      </c>
      <c r="X21" s="5">
        <v>-2.7902589699E-5</v>
      </c>
      <c r="Y21" s="6">
        <v>2.3693524463000001E-5</v>
      </c>
      <c r="Z21" s="17">
        <v>4.0591027055000003E-5</v>
      </c>
      <c r="AA21">
        <v>3.9984367842999999E-5</v>
      </c>
      <c r="AB21">
        <v>2.7047601149999998E-5</v>
      </c>
      <c r="AC21">
        <v>-2.6959971687000001E-5</v>
      </c>
      <c r="AD21">
        <v>3.0935646442000001E-5</v>
      </c>
      <c r="AE21">
        <v>-3.1170063520999998E-5</v>
      </c>
      <c r="AF21">
        <v>3.060162478E-6</v>
      </c>
      <c r="AG21" s="4">
        <v>-5.3207684225300002E-4</v>
      </c>
    </row>
    <row r="22" spans="1:33" x14ac:dyDescent="0.3">
      <c r="A22" s="1" t="s">
        <v>26</v>
      </c>
      <c r="B22" s="3">
        <v>6.219178264186E-3</v>
      </c>
      <c r="C22" s="4">
        <v>-5.2646911260259997E-3</v>
      </c>
      <c r="D22" s="4">
        <v>5.67575131666E-4</v>
      </c>
      <c r="E22">
        <v>6.2836261768199999E-4</v>
      </c>
      <c r="F22">
        <v>-4.5331126388599999E-4</v>
      </c>
      <c r="G22">
        <v>2.1460476689439999E-3</v>
      </c>
      <c r="H22">
        <v>3.7607187757499999E-4</v>
      </c>
      <c r="I22">
        <v>3.29216515956E-4</v>
      </c>
      <c r="J22">
        <v>8.5664744864E-5</v>
      </c>
      <c r="K22">
        <v>1.01203306598E-4</v>
      </c>
      <c r="L22" s="5">
        <v>2.5445041699999998E-7</v>
      </c>
      <c r="M22">
        <v>-1.4743472607149999E-3</v>
      </c>
      <c r="N22" s="5">
        <v>-2.3807530757599999E-4</v>
      </c>
      <c r="O22">
        <v>2.01822825738E-4</v>
      </c>
      <c r="P22" s="5">
        <v>4.9507745063300001E-4</v>
      </c>
      <c r="Q22">
        <v>2.0543578361520002E-3</v>
      </c>
      <c r="R22">
        <v>-3.7103237039100002E-4</v>
      </c>
      <c r="S22">
        <v>-1.15666247281E-4</v>
      </c>
      <c r="T22">
        <v>-2.8801630471619998E-3</v>
      </c>
      <c r="U22">
        <v>-1.51272116472E-4</v>
      </c>
      <c r="V22">
        <v>-1.13219467853E-4</v>
      </c>
      <c r="W22">
        <v>-6.6339097496699996E-4</v>
      </c>
      <c r="X22">
        <v>-1.0272725399499999E-4</v>
      </c>
      <c r="Y22" s="4">
        <v>1.4512601385999999E-4</v>
      </c>
      <c r="Z22" s="17">
        <v>2.7149605344999999E-4</v>
      </c>
      <c r="AA22">
        <v>2.3019442708499999E-4</v>
      </c>
      <c r="AB22">
        <v>1.33518219586E-4</v>
      </c>
      <c r="AC22">
        <v>-1.3326117117999999E-4</v>
      </c>
      <c r="AD22">
        <v>1.5159526936799999E-4</v>
      </c>
      <c r="AE22">
        <v>-2.2358111027000001E-4</v>
      </c>
      <c r="AF22">
        <v>2.1405056522000001E-5</v>
      </c>
      <c r="AG22" s="4">
        <v>-2.4566820969500001E-3</v>
      </c>
    </row>
    <row r="23" spans="1:33" x14ac:dyDescent="0.3">
      <c r="A23" s="1" t="s">
        <v>27</v>
      </c>
      <c r="B23" s="3">
        <v>-5.0092390795157003E-2</v>
      </c>
      <c r="C23" s="4">
        <v>1.8697086129394001E-2</v>
      </c>
      <c r="D23" s="4">
        <v>-5.9985622970900004E-4</v>
      </c>
      <c r="E23">
        <v>-2.4976570072349998E-3</v>
      </c>
      <c r="F23">
        <v>1.169353930263E-3</v>
      </c>
      <c r="G23">
        <v>-1.3594837026129E-2</v>
      </c>
      <c r="H23">
        <v>1.8232668398949999E-3</v>
      </c>
      <c r="I23">
        <v>9.9703993835199996E-4</v>
      </c>
      <c r="J23">
        <v>9.4325812759400002E-4</v>
      </c>
      <c r="K23">
        <v>1.1143538878240001E-3</v>
      </c>
      <c r="L23" s="5">
        <v>2.8027410190000001E-6</v>
      </c>
      <c r="M23">
        <v>3.1162511148200001E-4</v>
      </c>
      <c r="N23">
        <v>1.0759219383899999E-3</v>
      </c>
      <c r="O23">
        <v>6.1365971528400001E-4</v>
      </c>
      <c r="P23">
        <v>1.4863750421970001E-3</v>
      </c>
      <c r="Q23">
        <v>1.2830544959660001E-3</v>
      </c>
      <c r="R23">
        <v>-1.1655398252290001E-3</v>
      </c>
      <c r="S23">
        <v>9.7423038936000005E-5</v>
      </c>
      <c r="T23">
        <v>1.3321166095640999E-2</v>
      </c>
      <c r="U23">
        <v>3.6811875467900003E-4</v>
      </c>
      <c r="V23" s="5">
        <v>-2.7902589699E-5</v>
      </c>
      <c r="W23">
        <v>-1.0272725399499999E-4</v>
      </c>
      <c r="X23">
        <v>-7.2787540664969999E-3</v>
      </c>
      <c r="Y23" s="6">
        <v>5.9997267033000003E-5</v>
      </c>
      <c r="Z23" s="17">
        <v>-1.20893881475E-4</v>
      </c>
      <c r="AA23">
        <v>3.9519313155000001E-4</v>
      </c>
      <c r="AB23">
        <v>-1.1252384659940001E-3</v>
      </c>
      <c r="AC23">
        <v>-1.2689239747000001E-4</v>
      </c>
      <c r="AD23">
        <v>3.2705124148499999E-4</v>
      </c>
      <c r="AE23">
        <v>-5.2509396923899995E-4</v>
      </c>
      <c r="AF23">
        <v>3.6873857073999999E-5</v>
      </c>
      <c r="AG23" s="4">
        <v>-1.0013817778877001E-2</v>
      </c>
    </row>
    <row r="24" spans="1:33" x14ac:dyDescent="0.3">
      <c r="A24" s="1" t="s">
        <v>28</v>
      </c>
      <c r="B24" s="7">
        <v>1.7935124372158998E-2</v>
      </c>
      <c r="C24" s="8">
        <v>-8.6637232332920002E-3</v>
      </c>
      <c r="D24" s="8">
        <v>1.289468986787E-3</v>
      </c>
      <c r="E24" s="9">
        <v>1.486783470226E-3</v>
      </c>
      <c r="F24" s="9">
        <v>-4.4683616784300001E-4</v>
      </c>
      <c r="G24" s="9">
        <v>4.8121959561510004E-3</v>
      </c>
      <c r="H24" s="9">
        <v>-7.8471912932600002E-4</v>
      </c>
      <c r="I24" s="9">
        <v>-5.9513184517899997E-4</v>
      </c>
      <c r="J24" s="9">
        <v>-2.6813558431300002E-4</v>
      </c>
      <c r="K24" s="9">
        <v>-3.1677217731000001E-4</v>
      </c>
      <c r="L24" s="10">
        <v>-7.9673925600000003E-7</v>
      </c>
      <c r="M24" s="9">
        <v>-3.8351846335600001E-4</v>
      </c>
      <c r="N24" s="9">
        <v>-3.4535837320700001E-4</v>
      </c>
      <c r="O24" s="9">
        <v>-3.5928377540400002E-4</v>
      </c>
      <c r="P24" s="9">
        <v>5.1586973621699998E-4</v>
      </c>
      <c r="Q24" s="9">
        <v>1.8017713958059999E-3</v>
      </c>
      <c r="R24" s="9">
        <v>3.8359667622199999E-4</v>
      </c>
      <c r="S24" s="10">
        <v>-5.0662118245499996E-4</v>
      </c>
      <c r="T24" s="9">
        <v>-4.2130078013210004E-3</v>
      </c>
      <c r="U24" s="9">
        <v>-3.5190095001800002E-4</v>
      </c>
      <c r="V24" s="10">
        <v>2.3693524463000001E-5</v>
      </c>
      <c r="W24" s="9">
        <v>1.4512601385999999E-4</v>
      </c>
      <c r="X24" s="10">
        <v>5.9997267033000003E-5</v>
      </c>
      <c r="Y24" s="8">
        <v>-6.5697345233599997E-4</v>
      </c>
      <c r="Z24" s="18">
        <v>-1.0696647328930001E-3</v>
      </c>
      <c r="AA24" s="9">
        <v>4.3787615744899998E-4</v>
      </c>
      <c r="AB24" s="9">
        <v>-7.2277112172699999E-4</v>
      </c>
      <c r="AC24" s="9">
        <v>3.0302184005299998E-4</v>
      </c>
      <c r="AD24" s="9">
        <v>-2.9945371653899999E-4</v>
      </c>
      <c r="AE24" s="9">
        <v>-3.3850107201000002E-4</v>
      </c>
      <c r="AF24" s="9">
        <v>3.3083526847000001E-5</v>
      </c>
      <c r="AG24" s="8">
        <v>3.2230740047700002E-3</v>
      </c>
    </row>
    <row r="26" spans="1:33" x14ac:dyDescent="0.3">
      <c r="A26" s="20" t="s">
        <v>80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2"/>
    </row>
    <row r="28" spans="1:33" x14ac:dyDescent="0.3">
      <c r="A28" s="11" t="s">
        <v>81</v>
      </c>
      <c r="H28" s="11" t="s">
        <v>82</v>
      </c>
      <c r="P28" s="11" t="s">
        <v>85</v>
      </c>
    </row>
    <row r="29" spans="1:33" x14ac:dyDescent="0.3">
      <c r="B29" t="s">
        <v>58</v>
      </c>
      <c r="C29" t="s">
        <v>59</v>
      </c>
      <c r="D29" t="s">
        <v>64</v>
      </c>
      <c r="E29" t="s">
        <v>61</v>
      </c>
      <c r="F29" t="s">
        <v>62</v>
      </c>
      <c r="I29" t="s">
        <v>68</v>
      </c>
      <c r="J29" t="s">
        <v>69</v>
      </c>
      <c r="K29" t="s">
        <v>70</v>
      </c>
      <c r="L29" t="s">
        <v>71</v>
      </c>
      <c r="M29" t="s">
        <v>73</v>
      </c>
      <c r="N29" t="s">
        <v>72</v>
      </c>
      <c r="P29">
        <v>-4.3999999999999997E-2</v>
      </c>
    </row>
    <row r="30" spans="1:33" x14ac:dyDescent="0.3">
      <c r="A30" t="s">
        <v>37</v>
      </c>
      <c r="B30">
        <v>2.5403999999999999E-3</v>
      </c>
      <c r="C30">
        <v>2.6930999999999999E-3</v>
      </c>
      <c r="D30">
        <v>2.7973E-3</v>
      </c>
      <c r="E30">
        <v>3.3373999999999999E-3</v>
      </c>
      <c r="F30">
        <v>3.1205999999999998E-3</v>
      </c>
      <c r="H30" t="s">
        <v>34</v>
      </c>
      <c r="I30">
        <v>1.6285899999999999E-2</v>
      </c>
      <c r="J30">
        <v>1.0066E-2</v>
      </c>
      <c r="K30">
        <v>1.62</v>
      </c>
      <c r="L30">
        <v>0.111</v>
      </c>
      <c r="M30">
        <v>-3.8560999999999999E-3</v>
      </c>
      <c r="N30">
        <v>3.6427800000000003E-2</v>
      </c>
    </row>
    <row r="31" spans="1:33" x14ac:dyDescent="0.3">
      <c r="A31" t="s">
        <v>38</v>
      </c>
      <c r="B31">
        <v>-3.2690000000000002E-3</v>
      </c>
      <c r="C31">
        <v>-1.3556E-3</v>
      </c>
      <c r="D31">
        <v>7.94E-4</v>
      </c>
      <c r="E31">
        <v>-6.9943000000000002E-3</v>
      </c>
      <c r="F31">
        <v>-8.275E-4</v>
      </c>
      <c r="H31" t="s">
        <v>36</v>
      </c>
      <c r="I31">
        <v>-1.7825E-3</v>
      </c>
      <c r="J31">
        <v>7.0529999999999996E-4</v>
      </c>
      <c r="K31">
        <v>-2.5299999999999998</v>
      </c>
      <c r="L31">
        <v>1.4E-2</v>
      </c>
      <c r="M31">
        <v>-3.1939E-3</v>
      </c>
      <c r="N31">
        <v>-3.7110000000000002E-4</v>
      </c>
    </row>
    <row r="32" spans="1:33" x14ac:dyDescent="0.3">
      <c r="A32" t="s">
        <v>39</v>
      </c>
      <c r="B32">
        <v>2.3816000000000002E-3</v>
      </c>
      <c r="C32">
        <v>2.6855999999999998E-3</v>
      </c>
      <c r="D32">
        <v>3.107E-3</v>
      </c>
      <c r="E32">
        <v>3.9186000000000004E-3</v>
      </c>
      <c r="F32">
        <v>3.9404000000000002E-3</v>
      </c>
    </row>
    <row r="33" spans="1:14" x14ac:dyDescent="0.3">
      <c r="A33" t="s">
        <v>40</v>
      </c>
      <c r="B33">
        <v>2.3597000000000002E-3</v>
      </c>
      <c r="C33">
        <v>2.771E-3</v>
      </c>
      <c r="D33">
        <v>3.7716E-3</v>
      </c>
      <c r="E33">
        <v>3.7016000000000002E-3</v>
      </c>
      <c r="F33">
        <v>2.9137999999999998E-3</v>
      </c>
      <c r="H33" s="11" t="s">
        <v>83</v>
      </c>
    </row>
    <row r="34" spans="1:14" x14ac:dyDescent="0.3">
      <c r="A34" t="s">
        <v>41</v>
      </c>
      <c r="B34">
        <v>2.6656000000000002E-3</v>
      </c>
      <c r="C34">
        <v>2.6109000000000002E-3</v>
      </c>
      <c r="D34">
        <v>2.5436E-3</v>
      </c>
      <c r="E34">
        <v>3.1378000000000001E-3</v>
      </c>
      <c r="F34">
        <v>3.4275999999999998E-3</v>
      </c>
      <c r="I34" t="s">
        <v>68</v>
      </c>
      <c r="J34" t="s">
        <v>69</v>
      </c>
      <c r="K34" t="s">
        <v>70</v>
      </c>
      <c r="L34" t="s">
        <v>71</v>
      </c>
      <c r="M34" t="s">
        <v>73</v>
      </c>
      <c r="N34" t="s">
        <v>72</v>
      </c>
    </row>
    <row r="35" spans="1:14" x14ac:dyDescent="0.3">
      <c r="A35" t="s">
        <v>42</v>
      </c>
      <c r="B35">
        <v>2.4788000000000002E-3</v>
      </c>
      <c r="C35">
        <v>2.5885999999999999E-3</v>
      </c>
      <c r="D35">
        <v>2.4060000000000002E-3</v>
      </c>
      <c r="E35">
        <v>3.0433999999999999E-3</v>
      </c>
      <c r="F35">
        <v>3.0652000000000001E-3</v>
      </c>
      <c r="H35" t="s">
        <v>66</v>
      </c>
      <c r="I35">
        <v>6.1006699999999997E-2</v>
      </c>
      <c r="J35">
        <v>3.9475900000000001E-2</v>
      </c>
      <c r="K35">
        <v>1.55</v>
      </c>
      <c r="L35">
        <v>0.128</v>
      </c>
      <c r="M35">
        <v>-1.7984400000000001E-2</v>
      </c>
      <c r="N35">
        <v>0.13999790000000001</v>
      </c>
    </row>
    <row r="36" spans="1:14" x14ac:dyDescent="0.3">
      <c r="A36" t="s">
        <v>43</v>
      </c>
      <c r="B36">
        <v>2.2431999999999999E-3</v>
      </c>
      <c r="C36">
        <v>9.9810000000000003E-4</v>
      </c>
      <c r="D36">
        <v>2.3479E-3</v>
      </c>
      <c r="E36">
        <v>2.6174000000000002E-3</v>
      </c>
      <c r="F36">
        <v>1.6226000000000001E-3</v>
      </c>
      <c r="H36" t="s">
        <v>29</v>
      </c>
      <c r="I36">
        <v>0.29849490000000001</v>
      </c>
      <c r="J36">
        <v>6.3319200000000006E-2</v>
      </c>
      <c r="K36">
        <v>4.71</v>
      </c>
      <c r="L36">
        <v>0</v>
      </c>
      <c r="M36">
        <v>0.17179349999999999</v>
      </c>
      <c r="N36">
        <v>0.42519630000000003</v>
      </c>
    </row>
    <row r="37" spans="1:14" x14ac:dyDescent="0.3">
      <c r="A37" t="s">
        <v>44</v>
      </c>
      <c r="B37">
        <v>2.5907999999999999E-3</v>
      </c>
      <c r="C37">
        <v>3.3679000000000001E-3</v>
      </c>
      <c r="D37">
        <v>3.4275999999999998E-3</v>
      </c>
      <c r="E37">
        <v>4.2649000000000003E-3</v>
      </c>
      <c r="F37">
        <v>4.3242999999999997E-3</v>
      </c>
      <c r="H37" t="s">
        <v>30</v>
      </c>
      <c r="I37">
        <v>0.44192409999999999</v>
      </c>
      <c r="J37">
        <v>4.9528299999999997E-2</v>
      </c>
      <c r="K37">
        <v>8.92</v>
      </c>
      <c r="L37">
        <v>0</v>
      </c>
      <c r="M37">
        <v>0.34281820000000002</v>
      </c>
      <c r="N37">
        <v>0.54103000000000001</v>
      </c>
    </row>
    <row r="38" spans="1:14" x14ac:dyDescent="0.3">
      <c r="A38" t="s">
        <v>45</v>
      </c>
      <c r="B38">
        <v>2.7556E-3</v>
      </c>
      <c r="C38">
        <v>2.8007000000000002E-3</v>
      </c>
      <c r="D38">
        <v>1.1513000000000001E-3</v>
      </c>
      <c r="E38">
        <v>1.8282999999999999E-3</v>
      </c>
      <c r="F38">
        <v>1.7099000000000001E-3</v>
      </c>
      <c r="H38" t="s">
        <v>31</v>
      </c>
      <c r="I38">
        <v>0.31564219999999998</v>
      </c>
      <c r="J38">
        <v>5.4582600000000002E-2</v>
      </c>
      <c r="K38">
        <v>5.78</v>
      </c>
      <c r="L38">
        <v>0</v>
      </c>
      <c r="M38">
        <v>0.20642269999999999</v>
      </c>
      <c r="N38">
        <v>0.42486160000000001</v>
      </c>
    </row>
    <row r="39" spans="1:14" x14ac:dyDescent="0.3">
      <c r="A39" t="s">
        <v>46</v>
      </c>
      <c r="B39">
        <v>2.9580000000000001E-3</v>
      </c>
      <c r="C39">
        <v>1.2763E-3</v>
      </c>
      <c r="D39">
        <v>3.4795999999999998E-3</v>
      </c>
      <c r="E39">
        <v>3.1465E-3</v>
      </c>
      <c r="F39">
        <v>3.9039999999999999E-3</v>
      </c>
      <c r="H39" t="s">
        <v>32</v>
      </c>
      <c r="I39">
        <v>-3.7320000000000001E-3</v>
      </c>
      <c r="J39">
        <v>4.2887399999999999E-2</v>
      </c>
      <c r="K39">
        <v>-0.09</v>
      </c>
      <c r="L39">
        <v>0.93100000000000005</v>
      </c>
      <c r="M39">
        <v>-8.9549500000000004E-2</v>
      </c>
      <c r="N39">
        <v>8.2085400000000003E-2</v>
      </c>
    </row>
    <row r="40" spans="1:14" x14ac:dyDescent="0.3">
      <c r="A40" t="s">
        <v>47</v>
      </c>
      <c r="B40">
        <v>3.0490999999999999E-3</v>
      </c>
      <c r="C40">
        <v>3.1794000000000002E-3</v>
      </c>
      <c r="D40">
        <v>1.8804E-3</v>
      </c>
      <c r="E40">
        <v>2.7937999999999999E-3</v>
      </c>
      <c r="F40">
        <v>3.1771999999999998E-3</v>
      </c>
      <c r="H40" t="s">
        <v>33</v>
      </c>
      <c r="I40">
        <v>0.35720429999999997</v>
      </c>
      <c r="J40">
        <v>3.59972E-2</v>
      </c>
      <c r="K40">
        <v>9.92</v>
      </c>
      <c r="L40">
        <v>0</v>
      </c>
      <c r="M40">
        <v>0.28517409999999999</v>
      </c>
      <c r="N40">
        <v>0.42923460000000002</v>
      </c>
    </row>
    <row r="41" spans="1:14" x14ac:dyDescent="0.3">
      <c r="A41" t="s">
        <v>48</v>
      </c>
      <c r="B41">
        <v>1.5784E-3</v>
      </c>
      <c r="C41">
        <v>2.1470999999999999E-3</v>
      </c>
      <c r="D41">
        <v>2.3264000000000002E-3</v>
      </c>
      <c r="E41">
        <v>2.238E-3</v>
      </c>
      <c r="F41">
        <v>2.5796999999999999E-3</v>
      </c>
      <c r="H41" t="s">
        <v>34</v>
      </c>
      <c r="I41">
        <v>6.3936000000000007E-2</v>
      </c>
      <c r="J41">
        <v>3.6924999999999999E-2</v>
      </c>
      <c r="K41">
        <v>1.73</v>
      </c>
      <c r="L41">
        <v>8.8999999999999996E-2</v>
      </c>
      <c r="M41">
        <v>-9.9506999999999998E-3</v>
      </c>
      <c r="N41">
        <v>0.1378228</v>
      </c>
    </row>
    <row r="42" spans="1:14" x14ac:dyDescent="0.3">
      <c r="A42" t="s">
        <v>49</v>
      </c>
      <c r="B42">
        <v>1.3672999999999999E-3</v>
      </c>
      <c r="C42">
        <v>1.5070999999999999E-3</v>
      </c>
      <c r="D42">
        <v>2.4064999999999998E-3</v>
      </c>
      <c r="E42">
        <v>-6.6129999999999997E-4</v>
      </c>
      <c r="F42">
        <v>3.2109999999999999E-3</v>
      </c>
      <c r="H42" t="s">
        <v>36</v>
      </c>
      <c r="I42">
        <v>-8.0100999999999992E-3</v>
      </c>
      <c r="J42">
        <v>2.4778000000000001E-3</v>
      </c>
      <c r="K42">
        <v>-3.23</v>
      </c>
      <c r="L42">
        <v>2E-3</v>
      </c>
      <c r="M42">
        <v>-1.29683E-2</v>
      </c>
      <c r="N42">
        <v>-3.052E-3</v>
      </c>
    </row>
    <row r="43" spans="1:14" x14ac:dyDescent="0.3">
      <c r="A43" t="s">
        <v>50</v>
      </c>
      <c r="B43">
        <v>1.7363999999999999E-3</v>
      </c>
      <c r="C43">
        <v>1.6004999999999999E-3</v>
      </c>
      <c r="D43">
        <v>2.2480999999999998E-3</v>
      </c>
      <c r="E43">
        <v>2.3162999999999999E-3</v>
      </c>
      <c r="F43">
        <v>2.3655E-3</v>
      </c>
      <c r="H43" t="s">
        <v>35</v>
      </c>
      <c r="I43">
        <v>-0.98448519999999995</v>
      </c>
      <c r="J43">
        <v>0.36089830000000001</v>
      </c>
      <c r="K43">
        <v>-2.73</v>
      </c>
      <c r="L43">
        <v>8.0000000000000002E-3</v>
      </c>
      <c r="M43">
        <v>-1.7066410000000001</v>
      </c>
      <c r="N43">
        <v>-0.26232929999999999</v>
      </c>
    </row>
    <row r="44" spans="1:14" x14ac:dyDescent="0.3">
      <c r="A44" t="s">
        <v>51</v>
      </c>
      <c r="B44">
        <v>1.4894000000000001E-3</v>
      </c>
      <c r="C44">
        <v>1.7487E-3</v>
      </c>
      <c r="D44">
        <v>1.9246000000000001E-3</v>
      </c>
      <c r="E44">
        <v>2.4091E-3</v>
      </c>
      <c r="F44">
        <v>3.0952000000000002E-3</v>
      </c>
      <c r="H44" t="s">
        <v>67</v>
      </c>
      <c r="I44">
        <v>3.0688460000000002</v>
      </c>
      <c r="J44">
        <v>0.5517881</v>
      </c>
      <c r="K44">
        <v>5.56</v>
      </c>
      <c r="L44">
        <v>0</v>
      </c>
      <c r="M44">
        <v>1.96472</v>
      </c>
      <c r="N44">
        <v>4.1729710000000004</v>
      </c>
    </row>
    <row r="45" spans="1:14" x14ac:dyDescent="0.3">
      <c r="A45" t="s">
        <v>52</v>
      </c>
      <c r="B45">
        <v>1.3798E-3</v>
      </c>
      <c r="C45">
        <v>1.9659E-3</v>
      </c>
      <c r="D45">
        <v>9.1219999999999995E-4</v>
      </c>
      <c r="E45">
        <v>1.5958999999999999E-3</v>
      </c>
      <c r="F45">
        <v>2.6408999999999998E-3</v>
      </c>
    </row>
    <row r="46" spans="1:14" x14ac:dyDescent="0.3">
      <c r="A46" t="s">
        <v>53</v>
      </c>
      <c r="B46">
        <v>1.0495999999999999E-3</v>
      </c>
      <c r="C46">
        <v>1.0586E-3</v>
      </c>
      <c r="D46">
        <v>1.2130999999999999E-3</v>
      </c>
      <c r="E46">
        <v>1.1107000000000001E-3</v>
      </c>
      <c r="F46">
        <v>1.1218999999999999E-3</v>
      </c>
    </row>
    <row r="47" spans="1:14" x14ac:dyDescent="0.3">
      <c r="A47" t="s">
        <v>54</v>
      </c>
      <c r="B47">
        <v>1.5981000000000001E-3</v>
      </c>
      <c r="C47">
        <v>1.8649000000000001E-3</v>
      </c>
      <c r="D47">
        <v>7.538E-4</v>
      </c>
      <c r="E47">
        <v>1.6967E-3</v>
      </c>
      <c r="F47">
        <v>2.1790999999999998E-3</v>
      </c>
    </row>
    <row r="48" spans="1:14" x14ac:dyDescent="0.3">
      <c r="A48" t="s">
        <v>55</v>
      </c>
      <c r="B48">
        <v>1.3479E-3</v>
      </c>
      <c r="C48">
        <v>1.7164999999999999E-3</v>
      </c>
      <c r="D48">
        <v>1.6611E-3</v>
      </c>
      <c r="E48">
        <v>2.3216000000000001E-3</v>
      </c>
      <c r="F48">
        <v>2.7117999999999999E-3</v>
      </c>
    </row>
    <row r="49" spans="1:7" x14ac:dyDescent="0.3">
      <c r="A49" t="s">
        <v>56</v>
      </c>
      <c r="B49">
        <v>1.6511E-3</v>
      </c>
      <c r="C49">
        <v>1.4970000000000001E-3</v>
      </c>
      <c r="D49">
        <v>2.5566E-3</v>
      </c>
      <c r="E49">
        <v>3.0373000000000002E-3</v>
      </c>
      <c r="F49">
        <v>1.2256000000000001E-3</v>
      </c>
    </row>
    <row r="51" spans="1:7" x14ac:dyDescent="0.3">
      <c r="A51" s="20" t="s">
        <v>84</v>
      </c>
      <c r="B51" s="21"/>
      <c r="C51" s="21"/>
      <c r="D51" s="21"/>
      <c r="E51" s="21"/>
      <c r="F51" s="21"/>
      <c r="G51" s="22"/>
    </row>
    <row r="53" spans="1:7" x14ac:dyDescent="0.3">
      <c r="A53" s="11" t="s">
        <v>57</v>
      </c>
    </row>
    <row r="54" spans="1:7" x14ac:dyDescent="0.3">
      <c r="A54" t="s">
        <v>63</v>
      </c>
      <c r="B54" t="s">
        <v>58</v>
      </c>
      <c r="C54" t="s">
        <v>59</v>
      </c>
      <c r="D54" t="s">
        <v>60</v>
      </c>
      <c r="E54" t="s">
        <v>61</v>
      </c>
      <c r="F54" t="s">
        <v>62</v>
      </c>
      <c r="G54" s="13" t="s">
        <v>75</v>
      </c>
    </row>
    <row r="55" spans="1:7" x14ac:dyDescent="0.3">
      <c r="A55" t="s">
        <v>37</v>
      </c>
      <c r="B55">
        <v>1.643295</v>
      </c>
      <c r="C55">
        <v>1.6829719999999999</v>
      </c>
      <c r="D55">
        <v>1.728621</v>
      </c>
      <c r="E55">
        <v>1.732661</v>
      </c>
      <c r="F55">
        <v>1.76444</v>
      </c>
      <c r="G55" s="14">
        <f>+AVERAGE(B55:F55)</f>
        <v>1.7103978000000002</v>
      </c>
    </row>
    <row r="56" spans="1:7" x14ac:dyDescent="0.3">
      <c r="A56" t="s">
        <v>38</v>
      </c>
      <c r="B56">
        <v>1.8050330000000001</v>
      </c>
      <c r="C56">
        <v>1.747714</v>
      </c>
      <c r="D56">
        <v>1.7664470000000001</v>
      </c>
      <c r="E56">
        <v>1.7649790000000001</v>
      </c>
      <c r="F56">
        <v>1.7822359999999999</v>
      </c>
      <c r="G56" s="14">
        <f t="shared" ref="G56:G74" si="0">+AVERAGE(B56:F56)</f>
        <v>1.7732818000000001</v>
      </c>
    </row>
    <row r="57" spans="1:7" x14ac:dyDescent="0.3">
      <c r="A57" t="s">
        <v>39</v>
      </c>
      <c r="B57">
        <v>1.645311</v>
      </c>
      <c r="C57">
        <v>1.6246100000000001</v>
      </c>
      <c r="D57">
        <v>1.6914070000000001</v>
      </c>
      <c r="E57">
        <v>1.7361260000000001</v>
      </c>
      <c r="F57">
        <v>1.7607409999999999</v>
      </c>
      <c r="G57" s="14">
        <f t="shared" si="0"/>
        <v>1.6916389999999999</v>
      </c>
    </row>
    <row r="58" spans="1:7" x14ac:dyDescent="0.3">
      <c r="A58" t="s">
        <v>40</v>
      </c>
      <c r="B58">
        <v>1.798921</v>
      </c>
      <c r="C58">
        <v>1.8671409999999999</v>
      </c>
      <c r="D58">
        <v>1.82142</v>
      </c>
      <c r="E58">
        <v>1.864196</v>
      </c>
      <c r="F58">
        <v>1.833801</v>
      </c>
      <c r="G58" s="14">
        <f t="shared" si="0"/>
        <v>1.8370957999999997</v>
      </c>
    </row>
    <row r="59" spans="1:7" x14ac:dyDescent="0.3">
      <c r="A59" t="s">
        <v>41</v>
      </c>
      <c r="B59">
        <v>1.685171</v>
      </c>
      <c r="C59">
        <v>1.687217</v>
      </c>
      <c r="D59">
        <v>1.7216830000000001</v>
      </c>
      <c r="E59">
        <v>1.720353</v>
      </c>
      <c r="F59">
        <v>1.7507790000000001</v>
      </c>
      <c r="G59" s="14">
        <f t="shared" si="0"/>
        <v>1.7130406</v>
      </c>
    </row>
    <row r="60" spans="1:7" x14ac:dyDescent="0.3">
      <c r="A60" t="s">
        <v>42</v>
      </c>
      <c r="B60">
        <v>1.668825</v>
      </c>
      <c r="C60">
        <v>1.6444510000000001</v>
      </c>
      <c r="D60">
        <v>1.637475</v>
      </c>
      <c r="E60">
        <v>1.6712370000000001</v>
      </c>
      <c r="F60">
        <v>1.6977370000000001</v>
      </c>
      <c r="G60" s="14">
        <f t="shared" si="0"/>
        <v>1.663945</v>
      </c>
    </row>
    <row r="61" spans="1:7" x14ac:dyDescent="0.3">
      <c r="A61" t="s">
        <v>43</v>
      </c>
      <c r="B61">
        <v>1.671664</v>
      </c>
      <c r="C61">
        <v>1.6921569999999999</v>
      </c>
      <c r="D61">
        <v>1.7276899999999999</v>
      </c>
      <c r="E61">
        <v>1.7585150000000001</v>
      </c>
      <c r="F61">
        <v>1.845947</v>
      </c>
      <c r="G61" s="14">
        <f t="shared" si="0"/>
        <v>1.7391946</v>
      </c>
    </row>
    <row r="62" spans="1:7" x14ac:dyDescent="0.3">
      <c r="A62" t="s">
        <v>44</v>
      </c>
      <c r="B62">
        <v>1.6292930000000001</v>
      </c>
      <c r="C62">
        <v>1.675737</v>
      </c>
      <c r="D62">
        <v>1.6493709999999999</v>
      </c>
      <c r="E62">
        <v>1.664642</v>
      </c>
      <c r="F62">
        <v>1.67571</v>
      </c>
      <c r="G62" s="14">
        <f t="shared" si="0"/>
        <v>1.6589506000000001</v>
      </c>
    </row>
    <row r="63" spans="1:7" x14ac:dyDescent="0.3">
      <c r="A63" t="s">
        <v>45</v>
      </c>
      <c r="B63">
        <v>1.6576200000000001</v>
      </c>
      <c r="C63">
        <v>1.7077720000000001</v>
      </c>
      <c r="D63">
        <v>1.703619</v>
      </c>
      <c r="E63">
        <v>1.7256020000000001</v>
      </c>
      <c r="F63">
        <v>1.733528</v>
      </c>
      <c r="G63" s="14">
        <f t="shared" si="0"/>
        <v>1.7056282</v>
      </c>
    </row>
    <row r="64" spans="1:7" x14ac:dyDescent="0.3">
      <c r="A64" t="s">
        <v>46</v>
      </c>
      <c r="B64">
        <v>1.6978850000000001</v>
      </c>
      <c r="C64">
        <v>1.648873</v>
      </c>
      <c r="D64">
        <v>1.776885</v>
      </c>
      <c r="E64">
        <v>1.6954119999999999</v>
      </c>
      <c r="F64">
        <v>1.7180770000000001</v>
      </c>
      <c r="G64" s="14">
        <f t="shared" si="0"/>
        <v>1.7074263999999999</v>
      </c>
    </row>
    <row r="65" spans="1:7" x14ac:dyDescent="0.3">
      <c r="A65" t="s">
        <v>47</v>
      </c>
      <c r="B65">
        <v>1.6240859999999999</v>
      </c>
      <c r="C65">
        <v>1.6831</v>
      </c>
      <c r="D65">
        <v>1.7038960000000001</v>
      </c>
      <c r="E65">
        <v>1.6952469999999999</v>
      </c>
      <c r="F65">
        <v>1.6790510000000001</v>
      </c>
      <c r="G65" s="14">
        <f t="shared" si="0"/>
        <v>1.677076</v>
      </c>
    </row>
    <row r="66" spans="1:7" x14ac:dyDescent="0.3">
      <c r="A66" t="s">
        <v>48</v>
      </c>
      <c r="B66">
        <v>1.7024280000000001</v>
      </c>
      <c r="C66">
        <v>1.721166</v>
      </c>
      <c r="D66">
        <v>1.756891</v>
      </c>
      <c r="E66">
        <v>1.7236050000000001</v>
      </c>
      <c r="F66">
        <v>1.744829</v>
      </c>
      <c r="G66" s="14">
        <f t="shared" si="0"/>
        <v>1.7297837999999999</v>
      </c>
    </row>
    <row r="67" spans="1:7" x14ac:dyDescent="0.3">
      <c r="A67" t="s">
        <v>49</v>
      </c>
      <c r="B67">
        <v>1.729851</v>
      </c>
      <c r="C67">
        <v>1.7467330000000001</v>
      </c>
      <c r="D67">
        <v>1.7695590000000001</v>
      </c>
      <c r="E67">
        <v>1.7722150000000001</v>
      </c>
      <c r="F67">
        <v>1.7516830000000001</v>
      </c>
      <c r="G67" s="14">
        <f t="shared" si="0"/>
        <v>1.7540082000000001</v>
      </c>
    </row>
    <row r="68" spans="1:7" x14ac:dyDescent="0.3">
      <c r="A68" t="s">
        <v>50</v>
      </c>
      <c r="B68">
        <v>1.76126</v>
      </c>
      <c r="C68">
        <v>1.747339</v>
      </c>
      <c r="D68">
        <v>1.7597430000000001</v>
      </c>
      <c r="E68">
        <v>1.7323539999999999</v>
      </c>
      <c r="F68">
        <v>1.7704740000000001</v>
      </c>
      <c r="G68" s="14">
        <f t="shared" si="0"/>
        <v>1.7542340000000003</v>
      </c>
    </row>
    <row r="69" spans="1:7" x14ac:dyDescent="0.3">
      <c r="A69" t="s">
        <v>51</v>
      </c>
      <c r="B69">
        <v>1.6710499999999999</v>
      </c>
      <c r="C69">
        <v>1.6897009999999999</v>
      </c>
      <c r="D69">
        <v>1.714672</v>
      </c>
      <c r="E69">
        <v>1.732183</v>
      </c>
      <c r="F69">
        <v>1.7386440000000001</v>
      </c>
      <c r="G69" s="14">
        <f t="shared" si="0"/>
        <v>1.7092500000000002</v>
      </c>
    </row>
    <row r="70" spans="1:7" x14ac:dyDescent="0.3">
      <c r="A70" t="s">
        <v>52</v>
      </c>
      <c r="B70">
        <v>1.6550689999999999</v>
      </c>
      <c r="C70">
        <v>1.63541</v>
      </c>
      <c r="D70">
        <v>1.708307</v>
      </c>
      <c r="E70">
        <v>1.730791</v>
      </c>
      <c r="F70">
        <v>1.7267520000000001</v>
      </c>
      <c r="G70" s="14">
        <f t="shared" si="0"/>
        <v>1.6912658</v>
      </c>
    </row>
    <row r="71" spans="1:7" x14ac:dyDescent="0.3">
      <c r="A71" t="s">
        <v>53</v>
      </c>
      <c r="B71">
        <v>1.6474169999999999</v>
      </c>
      <c r="C71">
        <v>1.674461</v>
      </c>
      <c r="D71">
        <v>1.6554279999999999</v>
      </c>
      <c r="E71">
        <v>1.6911499999999999</v>
      </c>
      <c r="F71">
        <v>1.7518339999999999</v>
      </c>
      <c r="G71" s="14">
        <f t="shared" si="0"/>
        <v>1.6840579999999998</v>
      </c>
    </row>
    <row r="72" spans="1:7" x14ac:dyDescent="0.3">
      <c r="A72" t="s">
        <v>54</v>
      </c>
      <c r="B72">
        <v>1.8287599999999999</v>
      </c>
      <c r="C72">
        <v>1.7777940000000001</v>
      </c>
      <c r="D72">
        <v>1.842859</v>
      </c>
      <c r="E72">
        <v>1.869594</v>
      </c>
      <c r="F72">
        <v>1.847745</v>
      </c>
      <c r="G72" s="14">
        <f t="shared" si="0"/>
        <v>1.8333504</v>
      </c>
    </row>
    <row r="73" spans="1:7" x14ac:dyDescent="0.3">
      <c r="A73" t="s">
        <v>55</v>
      </c>
      <c r="B73">
        <v>1.7131700000000001</v>
      </c>
      <c r="C73">
        <v>1.739395</v>
      </c>
      <c r="D73">
        <v>1.701257</v>
      </c>
      <c r="E73">
        <v>1.730245</v>
      </c>
      <c r="F73">
        <v>1.776788</v>
      </c>
      <c r="G73" s="14">
        <f t="shared" si="0"/>
        <v>1.7321709999999999</v>
      </c>
    </row>
    <row r="74" spans="1:7" x14ac:dyDescent="0.3">
      <c r="A74" t="s">
        <v>56</v>
      </c>
      <c r="B74">
        <v>1.7194940000000001</v>
      </c>
      <c r="C74">
        <v>1.7179660000000001</v>
      </c>
      <c r="D74">
        <v>1.7516039999999999</v>
      </c>
      <c r="E74">
        <v>1.7842389999999999</v>
      </c>
      <c r="F74">
        <v>1.810494</v>
      </c>
      <c r="G74" s="14">
        <f t="shared" si="0"/>
        <v>1.7567594</v>
      </c>
    </row>
    <row r="75" spans="1:7" x14ac:dyDescent="0.3">
      <c r="A75" s="13" t="s">
        <v>75</v>
      </c>
      <c r="B75" s="14">
        <f>+AVERAGE(B55:B74)</f>
        <v>1.6977801499999998</v>
      </c>
      <c r="C75" s="14">
        <f t="shared" ref="C75" si="1">+AVERAGE(C55:C74)</f>
        <v>1.7055854499999998</v>
      </c>
      <c r="D75" s="14">
        <f t="shared" ref="D75" si="2">+AVERAGE(D55:D74)</f>
        <v>1.7294417000000002</v>
      </c>
      <c r="E75" s="14">
        <f t="shared" ref="E75" si="3">+AVERAGE(E55:E74)</f>
        <v>1.7397672999999998</v>
      </c>
      <c r="F75" s="14">
        <f t="shared" ref="F75" si="4">+AVERAGE(F55:F74)</f>
        <v>1.7580645000000001</v>
      </c>
      <c r="G75" s="14"/>
    </row>
    <row r="77" spans="1:7" x14ac:dyDescent="0.3">
      <c r="A77" s="11" t="s">
        <v>30</v>
      </c>
    </row>
    <row r="78" spans="1:7" x14ac:dyDescent="0.3">
      <c r="A78" t="s">
        <v>63</v>
      </c>
      <c r="B78" t="s">
        <v>58</v>
      </c>
      <c r="C78" t="s">
        <v>59</v>
      </c>
      <c r="D78" t="s">
        <v>60</v>
      </c>
      <c r="E78" t="s">
        <v>61</v>
      </c>
      <c r="F78" t="s">
        <v>62</v>
      </c>
      <c r="G78" s="13" t="s">
        <v>75</v>
      </c>
    </row>
    <row r="79" spans="1:7" x14ac:dyDescent="0.3">
      <c r="A79" t="s">
        <v>37</v>
      </c>
      <c r="B79">
        <v>2.6269140000000002</v>
      </c>
      <c r="C79">
        <v>2.6767400000000001</v>
      </c>
      <c r="D79">
        <v>2.7499880000000001</v>
      </c>
      <c r="E79">
        <v>2.787312</v>
      </c>
      <c r="F79">
        <v>2.7657539999999998</v>
      </c>
      <c r="G79" s="14">
        <f>+AVERAGE(B79:F79)</f>
        <v>2.7213415999999997</v>
      </c>
    </row>
    <row r="80" spans="1:7" x14ac:dyDescent="0.3">
      <c r="A80" t="s">
        <v>38</v>
      </c>
      <c r="B80">
        <v>2.6496029999999999</v>
      </c>
      <c r="C80">
        <v>2.7791450000000002</v>
      </c>
      <c r="D80">
        <v>2.819458</v>
      </c>
      <c r="E80">
        <v>2.889278</v>
      </c>
      <c r="F80">
        <v>2.8434689999999998</v>
      </c>
      <c r="G80" s="14">
        <f t="shared" ref="G80:G98" si="5">+AVERAGE(B80:F80)</f>
        <v>2.7961906000000001</v>
      </c>
    </row>
    <row r="81" spans="1:7" x14ac:dyDescent="0.3">
      <c r="A81" t="s">
        <v>39</v>
      </c>
      <c r="B81">
        <v>2.7143899999999999</v>
      </c>
      <c r="C81">
        <v>2.7425440000000001</v>
      </c>
      <c r="D81">
        <v>2.7779889999999998</v>
      </c>
      <c r="E81">
        <v>2.8255170000000001</v>
      </c>
      <c r="F81">
        <v>2.8229739999999999</v>
      </c>
      <c r="G81" s="14">
        <f t="shared" si="5"/>
        <v>2.7766828000000001</v>
      </c>
    </row>
    <row r="82" spans="1:7" x14ac:dyDescent="0.3">
      <c r="A82" t="s">
        <v>40</v>
      </c>
      <c r="B82">
        <v>2.7913359999999998</v>
      </c>
      <c r="C82">
        <v>2.9074650000000002</v>
      </c>
      <c r="D82">
        <v>2.9895149999999999</v>
      </c>
      <c r="E82">
        <v>2.8831020000000001</v>
      </c>
      <c r="F82">
        <v>2.9423309999999998</v>
      </c>
      <c r="G82" s="14">
        <f t="shared" si="5"/>
        <v>2.9027498</v>
      </c>
    </row>
    <row r="83" spans="1:7" x14ac:dyDescent="0.3">
      <c r="A83" t="s">
        <v>41</v>
      </c>
      <c r="B83">
        <v>2.6964299999999999</v>
      </c>
      <c r="C83">
        <v>2.7197680000000002</v>
      </c>
      <c r="D83">
        <v>2.683532</v>
      </c>
      <c r="E83">
        <v>2.7084250000000001</v>
      </c>
      <c r="F83">
        <v>2.7328929999999998</v>
      </c>
      <c r="G83" s="14">
        <f t="shared" si="5"/>
        <v>2.7082096</v>
      </c>
    </row>
    <row r="84" spans="1:7" x14ac:dyDescent="0.3">
      <c r="A84" t="s">
        <v>42</v>
      </c>
      <c r="B84">
        <v>2.7957100000000001</v>
      </c>
      <c r="C84">
        <v>2.7875960000000002</v>
      </c>
      <c r="D84">
        <v>2.802073</v>
      </c>
      <c r="E84">
        <v>2.8481019999999999</v>
      </c>
      <c r="F84">
        <v>2.8293689999999998</v>
      </c>
      <c r="G84" s="14">
        <f t="shared" si="5"/>
        <v>2.81257</v>
      </c>
    </row>
    <row r="85" spans="1:7" x14ac:dyDescent="0.3">
      <c r="A85" t="s">
        <v>43</v>
      </c>
      <c r="B85">
        <v>2.6837230000000001</v>
      </c>
      <c r="C85">
        <v>2.6436419999999998</v>
      </c>
      <c r="D85">
        <v>2.631999</v>
      </c>
      <c r="E85">
        <v>2.6993170000000002</v>
      </c>
      <c r="F85">
        <v>2.788157</v>
      </c>
      <c r="G85" s="14">
        <f t="shared" si="5"/>
        <v>2.6893676000000002</v>
      </c>
    </row>
    <row r="86" spans="1:7" x14ac:dyDescent="0.3">
      <c r="A86" t="s">
        <v>44</v>
      </c>
      <c r="B86">
        <v>2.6982050000000002</v>
      </c>
      <c r="C86">
        <v>2.7570670000000002</v>
      </c>
      <c r="D86">
        <v>2.7485499999999998</v>
      </c>
      <c r="E86">
        <v>2.7261880000000001</v>
      </c>
      <c r="F86">
        <v>2.7772800000000002</v>
      </c>
      <c r="G86" s="14">
        <f t="shared" si="5"/>
        <v>2.7414580000000002</v>
      </c>
    </row>
    <row r="87" spans="1:7" x14ac:dyDescent="0.3">
      <c r="A87" t="s">
        <v>45</v>
      </c>
      <c r="B87">
        <v>2.6642800000000002</v>
      </c>
      <c r="C87">
        <v>2.6796709999999999</v>
      </c>
      <c r="D87">
        <v>2.766111</v>
      </c>
      <c r="E87">
        <v>2.734483</v>
      </c>
      <c r="F87">
        <v>2.7882639999999999</v>
      </c>
      <c r="G87" s="14">
        <f t="shared" si="5"/>
        <v>2.7265617999999998</v>
      </c>
    </row>
    <row r="88" spans="1:7" x14ac:dyDescent="0.3">
      <c r="A88" t="s">
        <v>46</v>
      </c>
      <c r="B88">
        <v>2.5155479999999999</v>
      </c>
      <c r="C88">
        <v>2.508238</v>
      </c>
      <c r="D88">
        <v>2.6650179999999999</v>
      </c>
      <c r="E88">
        <v>2.5051770000000002</v>
      </c>
      <c r="F88">
        <v>2.5984970000000001</v>
      </c>
      <c r="G88" s="14">
        <f t="shared" si="5"/>
        <v>2.5584955999999996</v>
      </c>
    </row>
    <row r="89" spans="1:7" x14ac:dyDescent="0.3">
      <c r="A89" t="s">
        <v>47</v>
      </c>
      <c r="B89">
        <v>2.6608100000000001</v>
      </c>
      <c r="C89">
        <v>2.626601</v>
      </c>
      <c r="D89">
        <v>2.7330199999999998</v>
      </c>
      <c r="E89">
        <v>2.7326609999999998</v>
      </c>
      <c r="F89">
        <v>2.6973479999999999</v>
      </c>
      <c r="G89" s="14">
        <f t="shared" si="5"/>
        <v>2.6900880000000003</v>
      </c>
    </row>
    <row r="90" spans="1:7" x14ac:dyDescent="0.3">
      <c r="A90" t="s">
        <v>48</v>
      </c>
      <c r="B90">
        <v>2.5169670000000002</v>
      </c>
      <c r="C90">
        <v>2.5103559999999998</v>
      </c>
      <c r="D90">
        <v>2.5485709999999999</v>
      </c>
      <c r="E90">
        <v>2.5838800000000002</v>
      </c>
      <c r="F90">
        <v>2.6408839999999998</v>
      </c>
      <c r="G90" s="14">
        <f t="shared" si="5"/>
        <v>2.5601316000000001</v>
      </c>
    </row>
    <row r="91" spans="1:7" x14ac:dyDescent="0.3">
      <c r="A91" t="s">
        <v>49</v>
      </c>
      <c r="B91">
        <v>2.5273129999999999</v>
      </c>
      <c r="C91">
        <v>2.5100799999999999</v>
      </c>
      <c r="D91">
        <v>2.555107</v>
      </c>
      <c r="E91">
        <v>2.5975649999999999</v>
      </c>
      <c r="F91">
        <v>2.5547680000000001</v>
      </c>
      <c r="G91" s="14">
        <f t="shared" si="5"/>
        <v>2.5489666</v>
      </c>
    </row>
    <row r="92" spans="1:7" x14ac:dyDescent="0.3">
      <c r="A92" t="s">
        <v>50</v>
      </c>
      <c r="B92">
        <v>2.5501490000000002</v>
      </c>
      <c r="C92">
        <v>2.621016</v>
      </c>
      <c r="D92">
        <v>2.6298569999999999</v>
      </c>
      <c r="E92">
        <v>2.634811</v>
      </c>
      <c r="F92">
        <v>2.6041669999999999</v>
      </c>
      <c r="G92" s="14">
        <f t="shared" si="5"/>
        <v>2.6079999999999997</v>
      </c>
    </row>
    <row r="93" spans="1:7" x14ac:dyDescent="0.3">
      <c r="A93" t="s">
        <v>51</v>
      </c>
      <c r="B93">
        <v>2.3565339999999999</v>
      </c>
      <c r="C93">
        <v>2.398441</v>
      </c>
      <c r="D93">
        <v>2.404433</v>
      </c>
      <c r="E93">
        <v>2.4651399999999999</v>
      </c>
      <c r="F93">
        <v>2.5237690000000002</v>
      </c>
      <c r="G93" s="14">
        <f t="shared" si="5"/>
        <v>2.4296633999999999</v>
      </c>
    </row>
    <row r="94" spans="1:7" x14ac:dyDescent="0.3">
      <c r="A94" t="s">
        <v>52</v>
      </c>
      <c r="B94">
        <v>2.361691</v>
      </c>
      <c r="C94">
        <v>2.412461</v>
      </c>
      <c r="D94">
        <v>2.4872010000000002</v>
      </c>
      <c r="E94">
        <v>2.4689329999999998</v>
      </c>
      <c r="F94">
        <v>2.4918279999999999</v>
      </c>
      <c r="G94" s="14">
        <f t="shared" si="5"/>
        <v>2.4444227999999999</v>
      </c>
    </row>
    <row r="95" spans="1:7" x14ac:dyDescent="0.3">
      <c r="A95" t="s">
        <v>53</v>
      </c>
      <c r="B95">
        <v>2.4305080000000001</v>
      </c>
      <c r="C95">
        <v>2.4634589999999998</v>
      </c>
      <c r="D95">
        <v>2.463911</v>
      </c>
      <c r="E95">
        <v>2.4822739999999999</v>
      </c>
      <c r="F95">
        <v>2.4022939999999999</v>
      </c>
      <c r="G95" s="14">
        <f t="shared" si="5"/>
        <v>2.4484892</v>
      </c>
    </row>
    <row r="96" spans="1:7" x14ac:dyDescent="0.3">
      <c r="A96" t="s">
        <v>54</v>
      </c>
      <c r="B96">
        <v>2.542897</v>
      </c>
      <c r="C96">
        <v>2.6038770000000002</v>
      </c>
      <c r="D96">
        <v>2.5582479999999999</v>
      </c>
      <c r="E96">
        <v>2.5554389999999998</v>
      </c>
      <c r="F96">
        <v>2.5707170000000001</v>
      </c>
      <c r="G96" s="14">
        <f t="shared" si="5"/>
        <v>2.5662355999999997</v>
      </c>
    </row>
    <row r="97" spans="1:7" x14ac:dyDescent="0.3">
      <c r="A97" t="s">
        <v>55</v>
      </c>
      <c r="B97">
        <v>2.4157190000000002</v>
      </c>
      <c r="C97">
        <v>2.445967</v>
      </c>
      <c r="D97">
        <v>2.5178669999999999</v>
      </c>
      <c r="E97">
        <v>2.5243259999999998</v>
      </c>
      <c r="F97">
        <v>2.5021420000000001</v>
      </c>
      <c r="G97" s="14">
        <f t="shared" si="5"/>
        <v>2.4812041999999996</v>
      </c>
    </row>
    <row r="98" spans="1:7" x14ac:dyDescent="0.3">
      <c r="A98" t="s">
        <v>56</v>
      </c>
      <c r="B98">
        <v>2.6190039999999999</v>
      </c>
      <c r="C98">
        <v>2.6949179999999999</v>
      </c>
      <c r="D98">
        <v>2.650906</v>
      </c>
      <c r="E98">
        <v>2.7204280000000001</v>
      </c>
      <c r="F98">
        <v>2.8021310000000001</v>
      </c>
      <c r="G98" s="14">
        <f t="shared" si="5"/>
        <v>2.6974773999999995</v>
      </c>
    </row>
    <row r="99" spans="1:7" x14ac:dyDescent="0.3">
      <c r="A99" s="13" t="s">
        <v>75</v>
      </c>
      <c r="B99" s="14">
        <f>+AVERAGE(B79:B98)</f>
        <v>2.5908865500000005</v>
      </c>
      <c r="C99" s="14">
        <f t="shared" ref="C99" si="6">+AVERAGE(C79:C98)</f>
        <v>2.6244526000000001</v>
      </c>
      <c r="D99" s="14">
        <f t="shared" ref="D99" si="7">+AVERAGE(D79:D98)</f>
        <v>2.6591677000000002</v>
      </c>
      <c r="E99" s="14">
        <f t="shared" ref="E99" si="8">+AVERAGE(E79:E98)</f>
        <v>2.6686179000000001</v>
      </c>
      <c r="F99" s="14">
        <f t="shared" ref="F99" si="9">+AVERAGE(F79:F98)</f>
        <v>2.6839518</v>
      </c>
      <c r="G99" s="14"/>
    </row>
    <row r="101" spans="1:7" x14ac:dyDescent="0.3">
      <c r="A101" s="11" t="s">
        <v>31</v>
      </c>
    </row>
    <row r="102" spans="1:7" x14ac:dyDescent="0.3">
      <c r="A102" t="s">
        <v>63</v>
      </c>
      <c r="B102" t="s">
        <v>58</v>
      </c>
      <c r="C102" t="s">
        <v>59</v>
      </c>
      <c r="D102" t="s">
        <v>60</v>
      </c>
      <c r="E102" t="s">
        <v>61</v>
      </c>
      <c r="F102" t="s">
        <v>62</v>
      </c>
      <c r="G102" s="13" t="s">
        <v>75</v>
      </c>
    </row>
    <row r="103" spans="1:7" x14ac:dyDescent="0.3">
      <c r="A103" t="s">
        <v>37</v>
      </c>
      <c r="B103">
        <v>2.5157750000000001</v>
      </c>
      <c r="C103">
        <v>2.4962770000000001</v>
      </c>
      <c r="D103">
        <v>2.5196420000000002</v>
      </c>
      <c r="E103">
        <v>2.5009290000000002</v>
      </c>
      <c r="F103">
        <v>2.5174370000000001</v>
      </c>
      <c r="G103" s="14">
        <f>+AVERAGE(B103:F103)</f>
        <v>2.5100120000000006</v>
      </c>
    </row>
    <row r="104" spans="1:7" x14ac:dyDescent="0.3">
      <c r="A104" t="s">
        <v>38</v>
      </c>
      <c r="B104">
        <v>2.5557840000000001</v>
      </c>
      <c r="C104">
        <v>2.5926770000000001</v>
      </c>
      <c r="D104">
        <v>2.6686329999999998</v>
      </c>
      <c r="E104">
        <v>2.6389490000000002</v>
      </c>
      <c r="F104">
        <v>2.7200709999999999</v>
      </c>
      <c r="G104" s="14">
        <f t="shared" ref="G104:G122" si="10">+AVERAGE(B104:F104)</f>
        <v>2.6352228000000002</v>
      </c>
    </row>
    <row r="105" spans="1:7" x14ac:dyDescent="0.3">
      <c r="A105" t="s">
        <v>39</v>
      </c>
      <c r="B105">
        <v>2.5873439999999999</v>
      </c>
      <c r="C105">
        <v>2.5823510000000001</v>
      </c>
      <c r="D105">
        <v>2.5868150000000001</v>
      </c>
      <c r="E105">
        <v>2.5899359999999998</v>
      </c>
      <c r="F105">
        <v>2.6035810000000001</v>
      </c>
      <c r="G105" s="14">
        <f t="shared" si="10"/>
        <v>2.5900053999999999</v>
      </c>
    </row>
    <row r="106" spans="1:7" x14ac:dyDescent="0.3">
      <c r="A106" t="s">
        <v>40</v>
      </c>
      <c r="B106">
        <v>2.6839010000000001</v>
      </c>
      <c r="C106">
        <v>2.6149049999999998</v>
      </c>
      <c r="D106">
        <v>2.7132160000000001</v>
      </c>
      <c r="E106">
        <v>2.7077019999999998</v>
      </c>
      <c r="F106">
        <v>2.7148530000000002</v>
      </c>
      <c r="G106" s="14">
        <f t="shared" si="10"/>
        <v>2.6869153999999997</v>
      </c>
    </row>
    <row r="107" spans="1:7" x14ac:dyDescent="0.3">
      <c r="A107" t="s">
        <v>41</v>
      </c>
      <c r="B107">
        <v>2.4970750000000002</v>
      </c>
      <c r="C107">
        <v>2.5283739999999999</v>
      </c>
      <c r="D107">
        <v>2.5278939999999999</v>
      </c>
      <c r="E107">
        <v>2.5864980000000002</v>
      </c>
      <c r="F107">
        <v>2.5779930000000002</v>
      </c>
      <c r="G107" s="14">
        <f t="shared" si="10"/>
        <v>2.5435667999999998</v>
      </c>
    </row>
    <row r="108" spans="1:7" x14ac:dyDescent="0.3">
      <c r="A108" t="s">
        <v>42</v>
      </c>
      <c r="B108">
        <v>2.497465</v>
      </c>
      <c r="C108">
        <v>2.5097429999999998</v>
      </c>
      <c r="D108">
        <v>2.4915449999999999</v>
      </c>
      <c r="E108">
        <v>2.5138669999999999</v>
      </c>
      <c r="F108">
        <v>2.518186</v>
      </c>
      <c r="G108" s="14">
        <f t="shared" si="10"/>
        <v>2.5061612000000002</v>
      </c>
    </row>
    <row r="109" spans="1:7" x14ac:dyDescent="0.3">
      <c r="A109" t="s">
        <v>43</v>
      </c>
      <c r="B109">
        <v>2.5169929999999998</v>
      </c>
      <c r="C109">
        <v>2.4860009999999999</v>
      </c>
      <c r="D109">
        <v>2.5008889999999999</v>
      </c>
      <c r="E109">
        <v>2.489341</v>
      </c>
      <c r="F109">
        <v>2.447997</v>
      </c>
      <c r="G109" s="14">
        <f t="shared" si="10"/>
        <v>2.4882441999999996</v>
      </c>
    </row>
    <row r="110" spans="1:7" x14ac:dyDescent="0.3">
      <c r="A110" t="s">
        <v>44</v>
      </c>
      <c r="B110">
        <v>2.5576989999999999</v>
      </c>
      <c r="C110">
        <v>2.5533700000000001</v>
      </c>
      <c r="D110">
        <v>2.5876399999999999</v>
      </c>
      <c r="E110">
        <v>2.5391270000000001</v>
      </c>
      <c r="F110">
        <v>2.5489799999999998</v>
      </c>
      <c r="G110" s="14">
        <f t="shared" si="10"/>
        <v>2.5573632000000002</v>
      </c>
    </row>
    <row r="111" spans="1:7" x14ac:dyDescent="0.3">
      <c r="A111" t="s">
        <v>45</v>
      </c>
      <c r="B111">
        <v>2.4868399999999999</v>
      </c>
      <c r="C111">
        <v>2.5258620000000001</v>
      </c>
      <c r="D111">
        <v>2.5356399999999999</v>
      </c>
      <c r="E111">
        <v>2.5500829999999999</v>
      </c>
      <c r="F111">
        <v>2.5190519999999998</v>
      </c>
      <c r="G111" s="14">
        <f t="shared" si="10"/>
        <v>2.5234953999999998</v>
      </c>
    </row>
    <row r="112" spans="1:7" x14ac:dyDescent="0.3">
      <c r="A112" t="s">
        <v>46</v>
      </c>
      <c r="B112">
        <v>2.5196960000000002</v>
      </c>
      <c r="C112">
        <v>2.4442729999999999</v>
      </c>
      <c r="D112">
        <v>2.5268619999999999</v>
      </c>
      <c r="E112">
        <v>2.5665110000000002</v>
      </c>
      <c r="F112">
        <v>2.5306860000000002</v>
      </c>
      <c r="G112" s="14">
        <f t="shared" si="10"/>
        <v>2.5176056000000004</v>
      </c>
    </row>
    <row r="113" spans="1:7" x14ac:dyDescent="0.3">
      <c r="A113" t="s">
        <v>47</v>
      </c>
      <c r="B113">
        <v>2.5185</v>
      </c>
      <c r="C113">
        <v>2.5112619999999999</v>
      </c>
      <c r="D113">
        <v>2.558646</v>
      </c>
      <c r="E113">
        <v>2.5770050000000002</v>
      </c>
      <c r="F113">
        <v>2.520343</v>
      </c>
      <c r="G113" s="14">
        <f t="shared" si="10"/>
        <v>2.5371511999999998</v>
      </c>
    </row>
    <row r="114" spans="1:7" x14ac:dyDescent="0.3">
      <c r="A114" t="s">
        <v>48</v>
      </c>
      <c r="B114">
        <v>2.4121480000000002</v>
      </c>
      <c r="C114">
        <v>2.3973089999999999</v>
      </c>
      <c r="D114">
        <v>2.388827</v>
      </c>
      <c r="E114">
        <v>2.352503</v>
      </c>
      <c r="F114">
        <v>2.4449190000000001</v>
      </c>
      <c r="G114" s="14">
        <f t="shared" si="10"/>
        <v>2.3991411999999999</v>
      </c>
    </row>
    <row r="115" spans="1:7" x14ac:dyDescent="0.3">
      <c r="A115" t="s">
        <v>49</v>
      </c>
      <c r="B115">
        <v>2.3912520000000002</v>
      </c>
      <c r="C115">
        <v>2.3502839999999998</v>
      </c>
      <c r="D115">
        <v>2.4289000000000001</v>
      </c>
      <c r="E115">
        <v>2.4358050000000002</v>
      </c>
      <c r="F115">
        <v>2.474942</v>
      </c>
      <c r="G115" s="14">
        <f t="shared" si="10"/>
        <v>2.4162366000000004</v>
      </c>
    </row>
    <row r="116" spans="1:7" x14ac:dyDescent="0.3">
      <c r="A116" t="s">
        <v>50</v>
      </c>
      <c r="B116">
        <v>2.447308</v>
      </c>
      <c r="C116">
        <v>2.503911</v>
      </c>
      <c r="D116">
        <v>2.5350640000000002</v>
      </c>
      <c r="E116">
        <v>2.4576820000000001</v>
      </c>
      <c r="F116">
        <v>2.5107439999999999</v>
      </c>
      <c r="G116" s="14">
        <f t="shared" si="10"/>
        <v>2.4909418000000003</v>
      </c>
    </row>
    <row r="117" spans="1:7" x14ac:dyDescent="0.3">
      <c r="A117" t="s">
        <v>51</v>
      </c>
      <c r="B117">
        <v>2.241927</v>
      </c>
      <c r="C117">
        <v>2.2789130000000002</v>
      </c>
      <c r="D117">
        <v>2.262429</v>
      </c>
      <c r="E117">
        <v>2.2629049999999999</v>
      </c>
      <c r="F117">
        <v>2.3142930000000002</v>
      </c>
      <c r="G117" s="14">
        <f t="shared" si="10"/>
        <v>2.2720934000000002</v>
      </c>
    </row>
    <row r="118" spans="1:7" x14ac:dyDescent="0.3">
      <c r="A118" t="s">
        <v>52</v>
      </c>
      <c r="B118">
        <v>2.274022</v>
      </c>
      <c r="C118">
        <v>2.3518780000000001</v>
      </c>
      <c r="D118">
        <v>2.3214410000000001</v>
      </c>
      <c r="E118">
        <v>2.3269739999999999</v>
      </c>
      <c r="F118">
        <v>2.3652060000000001</v>
      </c>
      <c r="G118" s="14">
        <f t="shared" si="10"/>
        <v>2.3279041999999999</v>
      </c>
    </row>
    <row r="119" spans="1:7" x14ac:dyDescent="0.3">
      <c r="A119" t="s">
        <v>53</v>
      </c>
      <c r="B119">
        <v>2.2538320000000001</v>
      </c>
      <c r="C119">
        <v>2.3096930000000002</v>
      </c>
      <c r="D119">
        <v>2.3286349999999998</v>
      </c>
      <c r="E119">
        <v>2.3382909999999999</v>
      </c>
      <c r="F119">
        <v>2.3157679999999998</v>
      </c>
      <c r="G119" s="14">
        <f t="shared" si="10"/>
        <v>2.3092438</v>
      </c>
    </row>
    <row r="120" spans="1:7" x14ac:dyDescent="0.3">
      <c r="A120" t="s">
        <v>54</v>
      </c>
      <c r="B120">
        <v>2.3473359999999999</v>
      </c>
      <c r="C120">
        <v>2.2887879999999998</v>
      </c>
      <c r="D120">
        <v>2.2721439999999999</v>
      </c>
      <c r="E120">
        <v>2.2539370000000001</v>
      </c>
      <c r="F120">
        <v>2.3009629999999999</v>
      </c>
      <c r="G120" s="14">
        <f t="shared" si="10"/>
        <v>2.2926335999999998</v>
      </c>
    </row>
    <row r="121" spans="1:7" x14ac:dyDescent="0.3">
      <c r="A121" t="s">
        <v>55</v>
      </c>
      <c r="B121">
        <v>2.2448790000000001</v>
      </c>
      <c r="C121">
        <v>2.2790520000000001</v>
      </c>
      <c r="D121">
        <v>2.2824209999999998</v>
      </c>
      <c r="E121">
        <v>2.3177970000000001</v>
      </c>
      <c r="F121">
        <v>2.3410660000000001</v>
      </c>
      <c r="G121" s="14">
        <f t="shared" si="10"/>
        <v>2.2930429999999999</v>
      </c>
    </row>
    <row r="122" spans="1:7" x14ac:dyDescent="0.3">
      <c r="A122" t="s">
        <v>56</v>
      </c>
      <c r="B122">
        <v>2.4172289999999998</v>
      </c>
      <c r="C122">
        <v>2.5184890000000002</v>
      </c>
      <c r="D122">
        <v>2.5311319999999999</v>
      </c>
      <c r="E122">
        <v>2.5335139999999998</v>
      </c>
      <c r="F122">
        <v>2.5489920000000001</v>
      </c>
      <c r="G122" s="14">
        <f t="shared" si="10"/>
        <v>2.5098712000000001</v>
      </c>
    </row>
    <row r="123" spans="1:7" x14ac:dyDescent="0.3">
      <c r="A123" s="13" t="s">
        <v>75</v>
      </c>
      <c r="B123" s="14">
        <f>+AVERAGE(B103:B122)</f>
        <v>2.4483502499999998</v>
      </c>
      <c r="C123" s="14">
        <f t="shared" ref="C123" si="11">+AVERAGE(C103:C122)</f>
        <v>2.4561706000000001</v>
      </c>
      <c r="D123" s="14">
        <f t="shared" ref="D123" si="12">+AVERAGE(D103:D122)</f>
        <v>2.4784207499999997</v>
      </c>
      <c r="E123" s="14">
        <f t="shared" ref="E123" si="13">+AVERAGE(E103:E122)</f>
        <v>2.4769677999999997</v>
      </c>
      <c r="F123" s="14">
        <f t="shared" ref="F123" si="14">+AVERAGE(F103:F122)</f>
        <v>2.4918035999999999</v>
      </c>
    </row>
    <row r="125" spans="1:7" x14ac:dyDescent="0.3">
      <c r="A125" s="11" t="s">
        <v>32</v>
      </c>
    </row>
    <row r="126" spans="1:7" x14ac:dyDescent="0.3">
      <c r="A126" t="s">
        <v>63</v>
      </c>
      <c r="B126" t="s">
        <v>58</v>
      </c>
      <c r="C126" t="s">
        <v>59</v>
      </c>
      <c r="D126" t="s">
        <v>60</v>
      </c>
      <c r="E126" t="s">
        <v>61</v>
      </c>
      <c r="F126" t="s">
        <v>62</v>
      </c>
      <c r="G126" s="13" t="s">
        <v>75</v>
      </c>
    </row>
    <row r="127" spans="1:7" x14ac:dyDescent="0.3">
      <c r="A127" t="s">
        <v>37</v>
      </c>
      <c r="B127">
        <v>2.9261750000000002</v>
      </c>
      <c r="C127">
        <v>2.9512309999999999</v>
      </c>
      <c r="D127">
        <v>2.9693000000000001</v>
      </c>
      <c r="E127">
        <v>2.9467349999999999</v>
      </c>
      <c r="F127">
        <v>2.9883679999999999</v>
      </c>
      <c r="G127" s="14">
        <f>+AVERAGE(B127:F127)</f>
        <v>2.9563618000000003</v>
      </c>
    </row>
    <row r="128" spans="1:7" x14ac:dyDescent="0.3">
      <c r="A128" t="s">
        <v>38</v>
      </c>
      <c r="B128">
        <v>3.2165089999999998</v>
      </c>
      <c r="C128">
        <v>3.1497359999999999</v>
      </c>
      <c r="D128">
        <v>3.2606670000000002</v>
      </c>
      <c r="E128">
        <v>3.1589520000000002</v>
      </c>
      <c r="F128">
        <v>3.1209920000000002</v>
      </c>
      <c r="G128" s="14">
        <f t="shared" ref="G128:G146" si="15">+AVERAGE(B128:F128)</f>
        <v>3.1813712000000001</v>
      </c>
    </row>
    <row r="129" spans="1:7" x14ac:dyDescent="0.3">
      <c r="A129" t="s">
        <v>39</v>
      </c>
      <c r="B129">
        <v>2.9011749999999998</v>
      </c>
      <c r="C129">
        <v>2.8516949999999999</v>
      </c>
      <c r="D129">
        <v>2.8277800000000002</v>
      </c>
      <c r="E129">
        <v>2.7968470000000001</v>
      </c>
      <c r="F129">
        <v>2.7834560000000002</v>
      </c>
      <c r="G129" s="14">
        <f t="shared" si="15"/>
        <v>2.8321905999999997</v>
      </c>
    </row>
    <row r="130" spans="1:7" x14ac:dyDescent="0.3">
      <c r="A130" t="s">
        <v>40</v>
      </c>
      <c r="B130">
        <v>3.158874</v>
      </c>
      <c r="C130">
        <v>3.2628900000000001</v>
      </c>
      <c r="D130">
        <v>3.231427</v>
      </c>
      <c r="E130">
        <v>3.1416149999999998</v>
      </c>
      <c r="F130">
        <v>3.1792899999999999</v>
      </c>
      <c r="G130" s="14">
        <f t="shared" si="15"/>
        <v>3.1948192</v>
      </c>
    </row>
    <row r="131" spans="1:7" x14ac:dyDescent="0.3">
      <c r="A131" t="s">
        <v>41</v>
      </c>
      <c r="B131">
        <v>2.9266939999999999</v>
      </c>
      <c r="C131">
        <v>2.9438040000000001</v>
      </c>
      <c r="D131">
        <v>2.8853909999999998</v>
      </c>
      <c r="E131">
        <v>2.900433</v>
      </c>
      <c r="F131">
        <v>2.8878620000000002</v>
      </c>
      <c r="G131" s="14">
        <f t="shared" si="15"/>
        <v>2.9088368</v>
      </c>
    </row>
    <row r="132" spans="1:7" x14ac:dyDescent="0.3">
      <c r="A132" t="s">
        <v>42</v>
      </c>
      <c r="B132">
        <v>3.0933220000000001</v>
      </c>
      <c r="C132">
        <v>3.0633720000000002</v>
      </c>
      <c r="D132">
        <v>3.0205329999999999</v>
      </c>
      <c r="E132">
        <v>3.0165649999999999</v>
      </c>
      <c r="F132">
        <v>2.982316</v>
      </c>
      <c r="G132" s="14">
        <f t="shared" si="15"/>
        <v>3.0352215999999999</v>
      </c>
    </row>
    <row r="133" spans="1:7" x14ac:dyDescent="0.3">
      <c r="A133" t="s">
        <v>43</v>
      </c>
      <c r="B133">
        <v>2.791029</v>
      </c>
      <c r="C133">
        <v>2.7973810000000001</v>
      </c>
      <c r="D133">
        <v>2.8312300000000001</v>
      </c>
      <c r="E133">
        <v>2.8068490000000001</v>
      </c>
      <c r="F133">
        <v>2.8250959999999998</v>
      </c>
      <c r="G133" s="14">
        <f t="shared" si="15"/>
        <v>2.810317</v>
      </c>
    </row>
    <row r="134" spans="1:7" x14ac:dyDescent="0.3">
      <c r="A134" t="s">
        <v>44</v>
      </c>
      <c r="B134">
        <v>2.914609</v>
      </c>
      <c r="C134">
        <v>2.902018</v>
      </c>
      <c r="D134">
        <v>2.8188749999999998</v>
      </c>
      <c r="E134">
        <v>2.8664689999999999</v>
      </c>
      <c r="F134">
        <v>2.8276050000000001</v>
      </c>
      <c r="G134" s="14">
        <f t="shared" si="15"/>
        <v>2.8659152000000003</v>
      </c>
    </row>
    <row r="135" spans="1:7" x14ac:dyDescent="0.3">
      <c r="A135" t="s">
        <v>45</v>
      </c>
      <c r="B135">
        <v>2.9045100000000001</v>
      </c>
      <c r="C135">
        <v>2.9218519999999999</v>
      </c>
      <c r="D135">
        <v>2.893043</v>
      </c>
      <c r="E135">
        <v>2.918307</v>
      </c>
      <c r="F135">
        <v>2.867426</v>
      </c>
      <c r="G135" s="14">
        <f t="shared" si="15"/>
        <v>2.9010275999999999</v>
      </c>
    </row>
    <row r="136" spans="1:7" x14ac:dyDescent="0.3">
      <c r="A136" t="s">
        <v>46</v>
      </c>
      <c r="B136">
        <v>3.081575</v>
      </c>
      <c r="C136">
        <v>3.0423840000000002</v>
      </c>
      <c r="D136">
        <v>2.9996149999999999</v>
      </c>
      <c r="E136">
        <v>2.9327700000000001</v>
      </c>
      <c r="F136">
        <v>2.945792</v>
      </c>
      <c r="G136" s="14">
        <f t="shared" si="15"/>
        <v>3.0004271999999998</v>
      </c>
    </row>
    <row r="137" spans="1:7" x14ac:dyDescent="0.3">
      <c r="A137" t="s">
        <v>47</v>
      </c>
      <c r="B137">
        <v>2.9564629999999998</v>
      </c>
      <c r="C137">
        <v>2.884277</v>
      </c>
      <c r="D137">
        <v>2.9082880000000002</v>
      </c>
      <c r="E137">
        <v>2.9300350000000002</v>
      </c>
      <c r="F137">
        <v>2.9034819999999999</v>
      </c>
      <c r="G137" s="14">
        <f t="shared" si="15"/>
        <v>2.9165090000000005</v>
      </c>
    </row>
    <row r="138" spans="1:7" x14ac:dyDescent="0.3">
      <c r="A138" t="s">
        <v>48</v>
      </c>
      <c r="B138">
        <v>2.6412659999999999</v>
      </c>
      <c r="C138">
        <v>2.6620910000000002</v>
      </c>
      <c r="D138">
        <v>2.653044</v>
      </c>
      <c r="E138">
        <v>2.7256119999999999</v>
      </c>
      <c r="F138">
        <v>2.6903109999999999</v>
      </c>
      <c r="G138" s="14">
        <f t="shared" si="15"/>
        <v>2.6744648</v>
      </c>
    </row>
    <row r="139" spans="1:7" x14ac:dyDescent="0.3">
      <c r="A139" t="s">
        <v>49</v>
      </c>
      <c r="B139">
        <v>3.0647099999999998</v>
      </c>
      <c r="C139">
        <v>3.0372170000000001</v>
      </c>
      <c r="D139">
        <v>2.9378030000000002</v>
      </c>
      <c r="E139">
        <v>2.9464899999999998</v>
      </c>
      <c r="F139">
        <v>2.9672610000000001</v>
      </c>
      <c r="G139" s="14">
        <f t="shared" si="15"/>
        <v>2.9906961999999999</v>
      </c>
    </row>
    <row r="140" spans="1:7" x14ac:dyDescent="0.3">
      <c r="A140" t="s">
        <v>50</v>
      </c>
      <c r="B140">
        <v>3.1494339999999998</v>
      </c>
      <c r="C140">
        <v>3.1294110000000002</v>
      </c>
      <c r="D140">
        <v>3.0404279999999999</v>
      </c>
      <c r="E140">
        <v>3.024346</v>
      </c>
      <c r="F140">
        <v>3.0780810000000001</v>
      </c>
      <c r="G140" s="14">
        <f t="shared" si="15"/>
        <v>3.0843400000000001</v>
      </c>
    </row>
    <row r="141" spans="1:7" x14ac:dyDescent="0.3">
      <c r="A141" t="s">
        <v>51</v>
      </c>
      <c r="B141">
        <v>2.6490629999999999</v>
      </c>
      <c r="C141">
        <v>2.6851959999999999</v>
      </c>
      <c r="D141">
        <v>2.628568</v>
      </c>
      <c r="E141">
        <v>2.714426</v>
      </c>
      <c r="F141">
        <v>2.7116889999999998</v>
      </c>
      <c r="G141" s="14">
        <f t="shared" si="15"/>
        <v>2.6777883999999998</v>
      </c>
    </row>
    <row r="142" spans="1:7" x14ac:dyDescent="0.3">
      <c r="A142" t="s">
        <v>52</v>
      </c>
      <c r="B142">
        <v>2.769323</v>
      </c>
      <c r="C142">
        <v>2.6959249999999999</v>
      </c>
      <c r="D142">
        <v>2.7460870000000002</v>
      </c>
      <c r="E142">
        <v>2.6862870000000001</v>
      </c>
      <c r="F142">
        <v>2.6594180000000001</v>
      </c>
      <c r="G142" s="14">
        <f t="shared" si="15"/>
        <v>2.711408</v>
      </c>
    </row>
    <row r="143" spans="1:7" x14ac:dyDescent="0.3">
      <c r="A143" t="s">
        <v>53</v>
      </c>
      <c r="B143">
        <v>2.8961830000000002</v>
      </c>
      <c r="C143">
        <v>2.9447640000000002</v>
      </c>
      <c r="D143">
        <v>2.8836249999999999</v>
      </c>
      <c r="E143">
        <v>2.911673</v>
      </c>
      <c r="F143">
        <v>2.882161</v>
      </c>
      <c r="G143" s="14">
        <f t="shared" si="15"/>
        <v>2.9036812000000003</v>
      </c>
    </row>
    <row r="144" spans="1:7" x14ac:dyDescent="0.3">
      <c r="A144" t="s">
        <v>54</v>
      </c>
      <c r="B144">
        <v>2.8870450000000001</v>
      </c>
      <c r="C144">
        <v>2.942663</v>
      </c>
      <c r="D144">
        <v>2.9155920000000002</v>
      </c>
      <c r="E144">
        <v>2.8654920000000002</v>
      </c>
      <c r="F144">
        <v>2.8904550000000002</v>
      </c>
      <c r="G144" s="14">
        <f t="shared" si="15"/>
        <v>2.9002493999999999</v>
      </c>
    </row>
    <row r="145" spans="1:7" x14ac:dyDescent="0.3">
      <c r="A145" t="s">
        <v>55</v>
      </c>
      <c r="B145">
        <v>2.9706519999999998</v>
      </c>
      <c r="C145">
        <v>2.9072960000000001</v>
      </c>
      <c r="D145">
        <v>2.9241450000000002</v>
      </c>
      <c r="E145">
        <v>2.8912689999999999</v>
      </c>
      <c r="F145">
        <v>2.81873</v>
      </c>
      <c r="G145" s="14">
        <f t="shared" si="15"/>
        <v>2.9024183999999997</v>
      </c>
    </row>
    <row r="146" spans="1:7" x14ac:dyDescent="0.3">
      <c r="A146" t="s">
        <v>56</v>
      </c>
      <c r="B146">
        <v>3.011425</v>
      </c>
      <c r="C146">
        <v>2.977268</v>
      </c>
      <c r="D146">
        <v>2.88001</v>
      </c>
      <c r="E146">
        <v>2.9860929999999999</v>
      </c>
      <c r="F146">
        <v>2.8461810000000001</v>
      </c>
      <c r="G146" s="14">
        <f t="shared" si="15"/>
        <v>2.9401953999999999</v>
      </c>
    </row>
    <row r="147" spans="1:7" x14ac:dyDescent="0.3">
      <c r="A147" s="13" t="s">
        <v>75</v>
      </c>
      <c r="B147" s="14">
        <f>+AVERAGE(B127:B146)</f>
        <v>2.9455017999999997</v>
      </c>
      <c r="C147" s="14">
        <f t="shared" ref="C147" si="16">+AVERAGE(C127:C146)</f>
        <v>2.9376235500000005</v>
      </c>
      <c r="D147" s="14">
        <f t="shared" ref="D147" si="17">+AVERAGE(D127:D146)</f>
        <v>2.9127725500000006</v>
      </c>
      <c r="E147" s="14">
        <f t="shared" ref="E147" si="18">+AVERAGE(E127:E146)</f>
        <v>2.9083632499999998</v>
      </c>
      <c r="F147" s="14">
        <f t="shared" ref="F147" si="19">+AVERAGE(F127:F146)</f>
        <v>2.8927986000000003</v>
      </c>
    </row>
    <row r="149" spans="1:7" x14ac:dyDescent="0.3">
      <c r="A149" s="11" t="s">
        <v>33</v>
      </c>
    </row>
    <row r="150" spans="1:7" x14ac:dyDescent="0.3">
      <c r="A150" t="s">
        <v>63</v>
      </c>
      <c r="B150" t="s">
        <v>58</v>
      </c>
      <c r="C150" t="s">
        <v>59</v>
      </c>
      <c r="D150" t="s">
        <v>60</v>
      </c>
      <c r="E150" t="s">
        <v>61</v>
      </c>
      <c r="F150" t="s">
        <v>62</v>
      </c>
      <c r="G150" s="13" t="s">
        <v>75</v>
      </c>
    </row>
    <row r="151" spans="1:7" x14ac:dyDescent="0.3">
      <c r="A151" t="s">
        <v>37</v>
      </c>
      <c r="B151">
        <v>2.843531</v>
      </c>
      <c r="C151">
        <v>2.8640080000000001</v>
      </c>
      <c r="D151">
        <v>2.887985</v>
      </c>
      <c r="E151">
        <v>2.8954399999999998</v>
      </c>
      <c r="F151">
        <v>2.9085930000000002</v>
      </c>
      <c r="G151" s="14">
        <f>+AVERAGE(B151:F151)</f>
        <v>2.8799114000000001</v>
      </c>
    </row>
    <row r="152" spans="1:7" x14ac:dyDescent="0.3">
      <c r="A152" t="s">
        <v>38</v>
      </c>
      <c r="B152">
        <v>3.1125989999999999</v>
      </c>
      <c r="C152">
        <v>3.1172390000000001</v>
      </c>
      <c r="D152">
        <v>3.1768380000000001</v>
      </c>
      <c r="E152">
        <v>3.0635180000000002</v>
      </c>
      <c r="F152">
        <v>3.1243940000000001</v>
      </c>
      <c r="G152" s="14">
        <f t="shared" ref="G152:G170" si="20">+AVERAGE(B152:F152)</f>
        <v>3.1189176000000005</v>
      </c>
    </row>
    <row r="153" spans="1:7" x14ac:dyDescent="0.3">
      <c r="A153" t="s">
        <v>39</v>
      </c>
      <c r="B153">
        <v>2.8098559999999999</v>
      </c>
      <c r="C153">
        <v>2.8587259999999999</v>
      </c>
      <c r="D153">
        <v>2.8152170000000001</v>
      </c>
      <c r="E153">
        <v>2.8595950000000001</v>
      </c>
      <c r="F153">
        <v>2.8371330000000001</v>
      </c>
      <c r="G153" s="14">
        <f t="shared" si="20"/>
        <v>2.8361054000000001</v>
      </c>
    </row>
    <row r="154" spans="1:7" x14ac:dyDescent="0.3">
      <c r="A154" t="s">
        <v>40</v>
      </c>
      <c r="B154">
        <v>3.1422439999999998</v>
      </c>
      <c r="C154">
        <v>3.1736759999999999</v>
      </c>
      <c r="D154">
        <v>3.2564639999999998</v>
      </c>
      <c r="E154">
        <v>3.212262</v>
      </c>
      <c r="F154">
        <v>3.173502</v>
      </c>
      <c r="G154" s="14">
        <f t="shared" si="20"/>
        <v>3.1916295999999997</v>
      </c>
    </row>
    <row r="155" spans="1:7" x14ac:dyDescent="0.3">
      <c r="A155" t="s">
        <v>41</v>
      </c>
      <c r="B155">
        <v>2.8714840000000001</v>
      </c>
      <c r="C155">
        <v>2.903289</v>
      </c>
      <c r="D155">
        <v>2.8915709999999999</v>
      </c>
      <c r="E155">
        <v>2.9144950000000001</v>
      </c>
      <c r="F155">
        <v>2.9209770000000002</v>
      </c>
      <c r="G155" s="14">
        <f t="shared" si="20"/>
        <v>2.9003632000000001</v>
      </c>
    </row>
    <row r="156" spans="1:7" x14ac:dyDescent="0.3">
      <c r="A156" t="s">
        <v>42</v>
      </c>
      <c r="B156">
        <v>3.0539109999999998</v>
      </c>
      <c r="C156">
        <v>3.0656699999999999</v>
      </c>
      <c r="D156">
        <v>3.093172</v>
      </c>
      <c r="E156">
        <v>3.0083039999999999</v>
      </c>
      <c r="F156">
        <v>3.0230929999999998</v>
      </c>
      <c r="G156" s="14">
        <f t="shared" si="20"/>
        <v>3.0488299999999997</v>
      </c>
    </row>
    <row r="157" spans="1:7" x14ac:dyDescent="0.3">
      <c r="A157" t="s">
        <v>43</v>
      </c>
      <c r="B157">
        <v>2.8589920000000002</v>
      </c>
      <c r="C157">
        <v>2.7714660000000002</v>
      </c>
      <c r="D157">
        <v>2.8949820000000002</v>
      </c>
      <c r="E157">
        <v>2.883276</v>
      </c>
      <c r="F157">
        <v>2.8606470000000002</v>
      </c>
      <c r="G157" s="14">
        <f t="shared" si="20"/>
        <v>2.8538726000000003</v>
      </c>
    </row>
    <row r="158" spans="1:7" x14ac:dyDescent="0.3">
      <c r="A158" t="s">
        <v>44</v>
      </c>
      <c r="B158">
        <v>2.8770479999999998</v>
      </c>
      <c r="C158">
        <v>2.928051</v>
      </c>
      <c r="D158">
        <v>2.7886320000000002</v>
      </c>
      <c r="E158">
        <v>2.8697319999999999</v>
      </c>
      <c r="F158">
        <v>2.8664779999999999</v>
      </c>
      <c r="G158" s="14">
        <f t="shared" si="20"/>
        <v>2.8659882000000003</v>
      </c>
    </row>
    <row r="159" spans="1:7" x14ac:dyDescent="0.3">
      <c r="A159" t="s">
        <v>45</v>
      </c>
      <c r="B159">
        <v>2.9661650000000002</v>
      </c>
      <c r="C159">
        <v>2.9476019999999998</v>
      </c>
      <c r="D159">
        <v>2.9307319999999999</v>
      </c>
      <c r="E159">
        <v>2.9045930000000002</v>
      </c>
      <c r="F159">
        <v>2.9202680000000001</v>
      </c>
      <c r="G159" s="14">
        <f t="shared" si="20"/>
        <v>2.933872</v>
      </c>
    </row>
    <row r="160" spans="1:7" x14ac:dyDescent="0.3">
      <c r="A160" t="s">
        <v>46</v>
      </c>
      <c r="B160">
        <v>2.9474429999999998</v>
      </c>
      <c r="C160">
        <v>2.9678420000000001</v>
      </c>
      <c r="D160">
        <v>3.0030230000000002</v>
      </c>
      <c r="E160">
        <v>3.0124240000000002</v>
      </c>
      <c r="F160">
        <v>3.1277940000000002</v>
      </c>
      <c r="G160" s="14">
        <f t="shared" si="20"/>
        <v>3.0117051999999997</v>
      </c>
    </row>
    <row r="161" spans="1:7" x14ac:dyDescent="0.3">
      <c r="A161" t="s">
        <v>47</v>
      </c>
      <c r="B161">
        <v>2.9280339999999998</v>
      </c>
      <c r="C161">
        <v>2.878298</v>
      </c>
      <c r="D161">
        <v>2.949281</v>
      </c>
      <c r="E161">
        <v>2.9325429999999999</v>
      </c>
      <c r="F161">
        <v>2.9247939999999999</v>
      </c>
      <c r="G161" s="14">
        <f t="shared" si="20"/>
        <v>2.92259</v>
      </c>
    </row>
    <row r="162" spans="1:7" x14ac:dyDescent="0.3">
      <c r="A162" t="s">
        <v>48</v>
      </c>
      <c r="B162">
        <v>2.701848</v>
      </c>
      <c r="C162">
        <v>2.7326519999999999</v>
      </c>
      <c r="D162">
        <v>2.6705580000000002</v>
      </c>
      <c r="E162">
        <v>2.7288670000000002</v>
      </c>
      <c r="F162">
        <v>2.699821</v>
      </c>
      <c r="G162" s="14">
        <f t="shared" si="20"/>
        <v>2.7067492</v>
      </c>
    </row>
    <row r="163" spans="1:7" x14ac:dyDescent="0.3">
      <c r="A163" t="s">
        <v>49</v>
      </c>
      <c r="B163">
        <v>2.9975559999999999</v>
      </c>
      <c r="C163">
        <v>3.024438</v>
      </c>
      <c r="D163">
        <v>2.9140259999999998</v>
      </c>
      <c r="E163">
        <v>2.9503729999999999</v>
      </c>
      <c r="F163">
        <v>2.874584</v>
      </c>
      <c r="G163" s="14">
        <f t="shared" si="20"/>
        <v>2.9521953999999999</v>
      </c>
    </row>
    <row r="164" spans="1:7" x14ac:dyDescent="0.3">
      <c r="A164" t="s">
        <v>50</v>
      </c>
      <c r="B164">
        <v>3.0033690000000002</v>
      </c>
      <c r="C164">
        <v>2.9736950000000002</v>
      </c>
      <c r="D164">
        <v>2.9018799999999998</v>
      </c>
      <c r="E164">
        <v>2.9575170000000002</v>
      </c>
      <c r="F164">
        <v>2.9787789999999998</v>
      </c>
      <c r="G164" s="14">
        <f t="shared" si="20"/>
        <v>2.9630479999999997</v>
      </c>
    </row>
    <row r="165" spans="1:7" x14ac:dyDescent="0.3">
      <c r="A165" t="s">
        <v>51</v>
      </c>
      <c r="B165">
        <v>2.4614310000000001</v>
      </c>
      <c r="C165">
        <v>2.5051890000000001</v>
      </c>
      <c r="D165">
        <v>2.5168740000000001</v>
      </c>
      <c r="E165">
        <v>2.5363989999999998</v>
      </c>
      <c r="F165">
        <v>2.5490029999999999</v>
      </c>
      <c r="G165" s="14">
        <f t="shared" si="20"/>
        <v>2.5137791999999997</v>
      </c>
    </row>
    <row r="166" spans="1:7" x14ac:dyDescent="0.3">
      <c r="A166" t="s">
        <v>52</v>
      </c>
      <c r="B166">
        <v>2.5984280000000002</v>
      </c>
      <c r="C166">
        <v>2.5924010000000002</v>
      </c>
      <c r="D166">
        <v>2.6452260000000001</v>
      </c>
      <c r="E166">
        <v>2.631732</v>
      </c>
      <c r="F166">
        <v>2.624037</v>
      </c>
      <c r="G166" s="14">
        <f t="shared" si="20"/>
        <v>2.6183648000000002</v>
      </c>
    </row>
    <row r="167" spans="1:7" x14ac:dyDescent="0.3">
      <c r="A167" t="s">
        <v>53</v>
      </c>
      <c r="B167">
        <v>2.7818550000000002</v>
      </c>
      <c r="C167">
        <v>2.8433929999999998</v>
      </c>
      <c r="D167">
        <v>2.8320180000000001</v>
      </c>
      <c r="E167">
        <v>2.8893049999999998</v>
      </c>
      <c r="F167">
        <v>2.788551</v>
      </c>
      <c r="G167" s="14">
        <f t="shared" si="20"/>
        <v>2.8270244</v>
      </c>
    </row>
    <row r="168" spans="1:7" x14ac:dyDescent="0.3">
      <c r="A168" t="s">
        <v>54</v>
      </c>
      <c r="B168">
        <v>2.6888719999999999</v>
      </c>
      <c r="C168">
        <v>2.7222119999999999</v>
      </c>
      <c r="D168">
        <v>2.686947</v>
      </c>
      <c r="E168">
        <v>2.679335</v>
      </c>
      <c r="F168">
        <v>2.7028319999999999</v>
      </c>
      <c r="G168" s="14">
        <f t="shared" si="20"/>
        <v>2.6960395999999998</v>
      </c>
    </row>
    <row r="169" spans="1:7" x14ac:dyDescent="0.3">
      <c r="A169" t="s">
        <v>55</v>
      </c>
      <c r="B169">
        <v>2.712466</v>
      </c>
      <c r="C169">
        <v>2.7414719999999999</v>
      </c>
      <c r="D169">
        <v>2.733085</v>
      </c>
      <c r="E169">
        <v>2.7255500000000001</v>
      </c>
      <c r="F169">
        <v>2.7633130000000001</v>
      </c>
      <c r="G169" s="14">
        <f t="shared" si="20"/>
        <v>2.7351771999999999</v>
      </c>
    </row>
    <row r="170" spans="1:7" x14ac:dyDescent="0.3">
      <c r="A170" t="s">
        <v>56</v>
      </c>
      <c r="B170">
        <v>2.8813569999999999</v>
      </c>
      <c r="C170">
        <v>2.8755600000000001</v>
      </c>
      <c r="D170">
        <v>2.8184819999999999</v>
      </c>
      <c r="E170">
        <v>2.952089</v>
      </c>
      <c r="F170">
        <v>2.8503219999999998</v>
      </c>
      <c r="G170" s="14">
        <f t="shared" si="20"/>
        <v>2.8755619999999995</v>
      </c>
    </row>
    <row r="171" spans="1:7" x14ac:dyDescent="0.3">
      <c r="A171" s="13" t="s">
        <v>75</v>
      </c>
      <c r="B171" s="14">
        <f>+AVERAGE(B151:B170)</f>
        <v>2.8619244500000001</v>
      </c>
      <c r="C171" s="14">
        <f t="shared" ref="C171" si="21">+AVERAGE(C151:C170)</f>
        <v>2.8743439500000001</v>
      </c>
      <c r="D171" s="14">
        <f t="shared" ref="D171" si="22">+AVERAGE(D151:D170)</f>
        <v>2.8703496500000001</v>
      </c>
      <c r="E171" s="14">
        <f t="shared" ref="E171" si="23">+AVERAGE(E151:E170)</f>
        <v>2.8803674500000005</v>
      </c>
      <c r="F171" s="14">
        <f t="shared" ref="F171" si="24">+AVERAGE(F151:F170)</f>
        <v>2.8759457500000001</v>
      </c>
    </row>
    <row r="173" spans="1:7" x14ac:dyDescent="0.3">
      <c r="A173" s="11" t="s">
        <v>34</v>
      </c>
    </row>
    <row r="174" spans="1:7" x14ac:dyDescent="0.3">
      <c r="A174" t="s">
        <v>63</v>
      </c>
      <c r="B174" t="s">
        <v>58</v>
      </c>
      <c r="C174" t="s">
        <v>59</v>
      </c>
      <c r="D174" t="s">
        <v>60</v>
      </c>
      <c r="E174" t="s">
        <v>61</v>
      </c>
      <c r="F174" t="s">
        <v>62</v>
      </c>
      <c r="G174" s="13" t="s">
        <v>75</v>
      </c>
    </row>
    <row r="175" spans="1:7" x14ac:dyDescent="0.3">
      <c r="A175" t="s">
        <v>37</v>
      </c>
      <c r="B175">
        <v>8.3615180000000002</v>
      </c>
      <c r="C175">
        <v>8.3743829999999999</v>
      </c>
      <c r="D175">
        <v>8.0204109999999993</v>
      </c>
      <c r="E175">
        <v>7.7826370000000002</v>
      </c>
      <c r="F175">
        <v>7.9127070000000002</v>
      </c>
      <c r="G175" s="14">
        <f>+AVERAGE(B175:F175)</f>
        <v>8.0903311999999978</v>
      </c>
    </row>
    <row r="176" spans="1:7" x14ac:dyDescent="0.3">
      <c r="A176" t="s">
        <v>38</v>
      </c>
      <c r="B176">
        <v>7.9788309999999996</v>
      </c>
      <c r="C176">
        <v>7.6504070000000004</v>
      </c>
      <c r="D176">
        <v>7.6914129999999998</v>
      </c>
      <c r="E176">
        <v>7.1440450000000002</v>
      </c>
      <c r="F176">
        <v>7.6976079999999998</v>
      </c>
      <c r="G176" s="14">
        <f t="shared" ref="G176:G194" si="25">+AVERAGE(B176:F176)</f>
        <v>7.6324608000000014</v>
      </c>
    </row>
    <row r="177" spans="1:7" x14ac:dyDescent="0.3">
      <c r="A177" t="s">
        <v>39</v>
      </c>
      <c r="B177">
        <v>8.3500999999999994</v>
      </c>
      <c r="C177">
        <v>8.2836949999999998</v>
      </c>
      <c r="D177">
        <v>8.0462299999999995</v>
      </c>
      <c r="E177">
        <v>7.715516</v>
      </c>
      <c r="F177">
        <v>7.670102</v>
      </c>
      <c r="G177" s="14">
        <f t="shared" si="25"/>
        <v>8.0131285999999999</v>
      </c>
    </row>
    <row r="178" spans="1:7" x14ac:dyDescent="0.3">
      <c r="A178" t="s">
        <v>40</v>
      </c>
      <c r="B178">
        <v>8.5707120000000003</v>
      </c>
      <c r="C178">
        <v>8.271846</v>
      </c>
      <c r="D178">
        <v>7.8695890000000004</v>
      </c>
      <c r="E178">
        <v>7.8050079999999999</v>
      </c>
      <c r="F178">
        <v>7.8250310000000001</v>
      </c>
      <c r="G178" s="14">
        <f t="shared" si="25"/>
        <v>8.0684372000000018</v>
      </c>
    </row>
    <row r="179" spans="1:7" x14ac:dyDescent="0.3">
      <c r="A179" t="s">
        <v>41</v>
      </c>
      <c r="B179">
        <v>8.2001220000000004</v>
      </c>
      <c r="C179">
        <v>8.0947669999999992</v>
      </c>
      <c r="D179">
        <v>8.0307720000000007</v>
      </c>
      <c r="E179">
        <v>7.67516</v>
      </c>
      <c r="F179">
        <v>7.833526</v>
      </c>
      <c r="G179" s="14">
        <f t="shared" si="25"/>
        <v>7.9668693999999984</v>
      </c>
    </row>
    <row r="180" spans="1:7" x14ac:dyDescent="0.3">
      <c r="A180" t="s">
        <v>42</v>
      </c>
      <c r="B180">
        <v>8.0745299999999993</v>
      </c>
      <c r="C180">
        <v>8.1793630000000004</v>
      </c>
      <c r="D180">
        <v>7.9767330000000003</v>
      </c>
      <c r="E180">
        <v>8.1419820000000005</v>
      </c>
      <c r="F180">
        <v>7.995787</v>
      </c>
      <c r="G180" s="14">
        <f t="shared" si="25"/>
        <v>8.0736790000000003</v>
      </c>
    </row>
    <row r="181" spans="1:7" x14ac:dyDescent="0.3">
      <c r="A181" t="s">
        <v>43</v>
      </c>
      <c r="B181">
        <v>8.9270879999999995</v>
      </c>
      <c r="C181">
        <v>8.9379249999999999</v>
      </c>
      <c r="D181">
        <v>8.8632419999999996</v>
      </c>
      <c r="E181">
        <v>8.7752909999999993</v>
      </c>
      <c r="F181">
        <v>8.5334579999999995</v>
      </c>
      <c r="G181" s="14">
        <f t="shared" si="25"/>
        <v>8.8074007999999999</v>
      </c>
    </row>
    <row r="182" spans="1:7" x14ac:dyDescent="0.3">
      <c r="A182" t="s">
        <v>44</v>
      </c>
      <c r="B182">
        <v>8.0952000000000002</v>
      </c>
      <c r="C182">
        <v>7.9222340000000004</v>
      </c>
      <c r="D182">
        <v>7.6634580000000003</v>
      </c>
      <c r="E182">
        <v>7.6476179999999996</v>
      </c>
      <c r="F182">
        <v>7.628482</v>
      </c>
      <c r="G182" s="14">
        <f t="shared" si="25"/>
        <v>7.7913984000000003</v>
      </c>
    </row>
    <row r="183" spans="1:7" x14ac:dyDescent="0.3">
      <c r="A183" t="s">
        <v>45</v>
      </c>
      <c r="B183">
        <v>8.1029440000000008</v>
      </c>
      <c r="C183">
        <v>8.1647090000000002</v>
      </c>
      <c r="D183">
        <v>8.0540850000000006</v>
      </c>
      <c r="E183">
        <v>7.7543009999999999</v>
      </c>
      <c r="F183">
        <v>7.74864</v>
      </c>
      <c r="G183" s="14">
        <f t="shared" si="25"/>
        <v>7.964935800000001</v>
      </c>
    </row>
    <row r="184" spans="1:7" x14ac:dyDescent="0.3">
      <c r="A184" t="s">
        <v>46</v>
      </c>
      <c r="B184">
        <v>8.0923149999999993</v>
      </c>
      <c r="C184">
        <v>8.8015179999999997</v>
      </c>
      <c r="D184">
        <v>7.8871789999999997</v>
      </c>
      <c r="E184">
        <v>7.9762529999999998</v>
      </c>
      <c r="F184">
        <v>7.5496059999999998</v>
      </c>
      <c r="G184" s="14">
        <f t="shared" si="25"/>
        <v>8.0613741999999995</v>
      </c>
    </row>
    <row r="185" spans="1:7" x14ac:dyDescent="0.3">
      <c r="A185" t="s">
        <v>47</v>
      </c>
      <c r="B185">
        <v>8.2170989999999993</v>
      </c>
      <c r="C185">
        <v>8.0017960000000006</v>
      </c>
      <c r="D185">
        <v>7.642188</v>
      </c>
      <c r="E185">
        <v>7.5532560000000002</v>
      </c>
      <c r="F185">
        <v>7.6568259999999997</v>
      </c>
      <c r="G185" s="14">
        <f t="shared" si="25"/>
        <v>7.8142329999999998</v>
      </c>
    </row>
    <row r="186" spans="1:7" x14ac:dyDescent="0.3">
      <c r="A186" t="s">
        <v>48</v>
      </c>
      <c r="B186">
        <v>8.5655669999999997</v>
      </c>
      <c r="C186">
        <v>8.5194310000000009</v>
      </c>
      <c r="D186">
        <v>8.2522459999999995</v>
      </c>
      <c r="E186">
        <v>8.2442460000000004</v>
      </c>
      <c r="F186">
        <v>8.5786359999999995</v>
      </c>
      <c r="G186" s="14">
        <f t="shared" si="25"/>
        <v>8.4320252000000018</v>
      </c>
    </row>
    <row r="187" spans="1:7" x14ac:dyDescent="0.3">
      <c r="A187" t="s">
        <v>49</v>
      </c>
      <c r="B187">
        <v>9.0837450000000004</v>
      </c>
      <c r="C187">
        <v>8.5847689999999997</v>
      </c>
      <c r="D187">
        <v>8.4830880000000004</v>
      </c>
      <c r="E187">
        <v>8.1128800000000005</v>
      </c>
      <c r="F187">
        <v>8.1058649999999997</v>
      </c>
      <c r="G187" s="14">
        <f t="shared" si="25"/>
        <v>8.4740694000000012</v>
      </c>
    </row>
    <row r="188" spans="1:7" x14ac:dyDescent="0.3">
      <c r="A188" t="s">
        <v>50</v>
      </c>
      <c r="B188">
        <v>9.0649060000000006</v>
      </c>
      <c r="C188">
        <v>8.7401630000000008</v>
      </c>
      <c r="D188">
        <v>8.8318820000000002</v>
      </c>
      <c r="E188">
        <v>8.930002</v>
      </c>
      <c r="F188">
        <v>8.7340389999999992</v>
      </c>
      <c r="G188" s="14">
        <f t="shared" si="25"/>
        <v>8.8601984000000016</v>
      </c>
    </row>
    <row r="189" spans="1:7" x14ac:dyDescent="0.3">
      <c r="A189" t="s">
        <v>51</v>
      </c>
      <c r="B189">
        <v>9.6148860000000003</v>
      </c>
      <c r="C189">
        <v>9.2768460000000008</v>
      </c>
      <c r="D189">
        <v>9.1578040000000005</v>
      </c>
      <c r="E189">
        <v>8.7895149999999997</v>
      </c>
      <c r="F189">
        <v>8.3175950000000007</v>
      </c>
      <c r="G189" s="14">
        <f t="shared" si="25"/>
        <v>9.0313292000000018</v>
      </c>
    </row>
    <row r="190" spans="1:7" x14ac:dyDescent="0.3">
      <c r="A190" t="s">
        <v>52</v>
      </c>
      <c r="B190">
        <v>8.7394020000000001</v>
      </c>
      <c r="C190">
        <v>8.7077380000000009</v>
      </c>
      <c r="D190">
        <v>8.6408349999999992</v>
      </c>
      <c r="E190">
        <v>8.6067079999999994</v>
      </c>
      <c r="F190">
        <v>8.2460660000000008</v>
      </c>
      <c r="G190" s="14">
        <f t="shared" si="25"/>
        <v>8.5881498000000001</v>
      </c>
    </row>
    <row r="191" spans="1:7" x14ac:dyDescent="0.3">
      <c r="A191" t="s">
        <v>53</v>
      </c>
      <c r="B191">
        <v>9.8200850000000006</v>
      </c>
      <c r="C191">
        <v>9.1972310000000004</v>
      </c>
      <c r="D191">
        <v>8.8103429999999996</v>
      </c>
      <c r="E191">
        <v>8.701962</v>
      </c>
      <c r="F191">
        <v>8.4622949999999992</v>
      </c>
      <c r="G191" s="14">
        <f t="shared" si="25"/>
        <v>8.9983831999999992</v>
      </c>
    </row>
    <row r="192" spans="1:7" x14ac:dyDescent="0.3">
      <c r="A192" t="s">
        <v>54</v>
      </c>
      <c r="B192">
        <v>8.8474649999999997</v>
      </c>
      <c r="C192">
        <v>8.8462569999999996</v>
      </c>
      <c r="D192">
        <v>8.4369150000000008</v>
      </c>
      <c r="E192">
        <v>8.6637299999999993</v>
      </c>
      <c r="F192">
        <v>8.3583099999999995</v>
      </c>
      <c r="G192" s="14">
        <f t="shared" si="25"/>
        <v>8.6305353999999994</v>
      </c>
    </row>
    <row r="193" spans="1:19" x14ac:dyDescent="0.3">
      <c r="A193" t="s">
        <v>55</v>
      </c>
      <c r="B193">
        <v>9.5542119999999997</v>
      </c>
      <c r="C193">
        <v>9.3312410000000003</v>
      </c>
      <c r="D193">
        <v>9.3352769999999996</v>
      </c>
      <c r="E193">
        <v>8.833164</v>
      </c>
      <c r="F193">
        <v>8.6338620000000006</v>
      </c>
      <c r="G193" s="14">
        <f t="shared" si="25"/>
        <v>9.1375512000000008</v>
      </c>
    </row>
    <row r="194" spans="1:19" x14ac:dyDescent="0.3">
      <c r="A194" t="s">
        <v>56</v>
      </c>
      <c r="B194">
        <v>8.960286</v>
      </c>
      <c r="C194">
        <v>8.5414089999999998</v>
      </c>
      <c r="D194">
        <v>8.2389690000000009</v>
      </c>
      <c r="E194">
        <v>7.7687780000000002</v>
      </c>
      <c r="F194">
        <v>7.7872209999999997</v>
      </c>
      <c r="G194" s="14">
        <f t="shared" si="25"/>
        <v>8.2593326000000005</v>
      </c>
    </row>
    <row r="195" spans="1:19" x14ac:dyDescent="0.3">
      <c r="A195" s="13" t="s">
        <v>75</v>
      </c>
      <c r="B195" s="14">
        <f>+AVERAGE(B175:B194)</f>
        <v>8.6610506500000017</v>
      </c>
      <c r="C195" s="14">
        <f t="shared" ref="C195" si="26">+AVERAGE(C175:C194)</f>
        <v>8.521386399999999</v>
      </c>
      <c r="D195" s="14">
        <f t="shared" ref="D195" si="27">+AVERAGE(D175:D194)</f>
        <v>8.2966329499999993</v>
      </c>
      <c r="E195" s="14">
        <f t="shared" ref="E195" si="28">+AVERAGE(E175:E194)</f>
        <v>8.131102600000002</v>
      </c>
      <c r="F195" s="14">
        <f t="shared" ref="F195" si="29">+AVERAGE(F175:F194)</f>
        <v>8.0637830999999984</v>
      </c>
    </row>
    <row r="197" spans="1:19" x14ac:dyDescent="0.3">
      <c r="A197" s="11" t="s">
        <v>36</v>
      </c>
      <c r="B197" t="s">
        <v>76</v>
      </c>
      <c r="H197" t="s">
        <v>77</v>
      </c>
      <c r="O197" t="s">
        <v>78</v>
      </c>
    </row>
    <row r="198" spans="1:19" x14ac:dyDescent="0.3">
      <c r="A198" t="s">
        <v>63</v>
      </c>
      <c r="B198" t="s">
        <v>58</v>
      </c>
      <c r="C198" t="s">
        <v>59</v>
      </c>
      <c r="D198" t="s">
        <v>60</v>
      </c>
      <c r="E198" t="s">
        <v>61</v>
      </c>
      <c r="F198" t="s">
        <v>62</v>
      </c>
    </row>
    <row r="199" spans="1:19" x14ac:dyDescent="0.3">
      <c r="A199" t="s">
        <v>37</v>
      </c>
      <c r="B199">
        <v>77.392560000000003</v>
      </c>
      <c r="C199">
        <v>77.868300000000005</v>
      </c>
      <c r="D199">
        <v>72.418059999999997</v>
      </c>
      <c r="E199">
        <v>68.621660000000006</v>
      </c>
      <c r="F199">
        <v>69.850269999999995</v>
      </c>
      <c r="H199">
        <f t="shared" ref="H199:H218" si="30">B175^2</f>
        <v>69.914983264324007</v>
      </c>
      <c r="I199">
        <f t="shared" ref="I199:L199" si="31">C175^2</f>
        <v>70.130290630689004</v>
      </c>
      <c r="J199">
        <f t="shared" si="31"/>
        <v>64.326992608920989</v>
      </c>
      <c r="K199">
        <f t="shared" si="31"/>
        <v>60.569438673769007</v>
      </c>
      <c r="L199">
        <f t="shared" si="31"/>
        <v>62.610932067848999</v>
      </c>
      <c r="O199" s="15">
        <f>+B199-H199</f>
        <v>7.4775767356759957</v>
      </c>
      <c r="P199" s="15">
        <f t="shared" ref="P199:S199" si="32">+C199-I199</f>
        <v>7.7380093693110013</v>
      </c>
      <c r="Q199" s="15">
        <f t="shared" si="32"/>
        <v>8.0910673910790081</v>
      </c>
      <c r="R199" s="15">
        <f t="shared" si="32"/>
        <v>8.052221326230999</v>
      </c>
      <c r="S199" s="15">
        <f t="shared" si="32"/>
        <v>7.2393379321509954</v>
      </c>
    </row>
    <row r="200" spans="1:19" x14ac:dyDescent="0.3">
      <c r="A200" t="s">
        <v>38</v>
      </c>
      <c r="B200">
        <v>72.550399999999996</v>
      </c>
      <c r="C200">
        <v>68.193359999999998</v>
      </c>
      <c r="D200">
        <v>67.144580000000005</v>
      </c>
      <c r="E200">
        <v>60.342260000000003</v>
      </c>
      <c r="F200">
        <v>68.446150000000003</v>
      </c>
      <c r="H200">
        <f t="shared" si="30"/>
        <v>63.66174412656099</v>
      </c>
      <c r="I200">
        <f t="shared" ref="I200:I218" si="33">C176^2</f>
        <v>58.528727265649003</v>
      </c>
      <c r="J200">
        <f t="shared" ref="J200:J218" si="34">D176^2</f>
        <v>59.157833936568998</v>
      </c>
      <c r="K200">
        <f t="shared" ref="K200:K218" si="35">E176^2</f>
        <v>51.037378962025002</v>
      </c>
      <c r="L200">
        <f t="shared" ref="L200:L218" si="36">F176^2</f>
        <v>59.253168921663999</v>
      </c>
      <c r="O200" s="15">
        <f t="shared" ref="O200:O218" si="37">+B200-H200</f>
        <v>8.8886558734390064</v>
      </c>
      <c r="P200" s="15">
        <f t="shared" ref="P200:P218" si="38">+C200-I200</f>
        <v>9.6646327343509952</v>
      </c>
      <c r="Q200" s="15">
        <f t="shared" ref="Q200:Q218" si="39">+D200-J200</f>
        <v>7.9867460634310063</v>
      </c>
      <c r="R200" s="15">
        <f t="shared" ref="R200:R218" si="40">+E200-K200</f>
        <v>9.3048810379750009</v>
      </c>
      <c r="S200" s="15">
        <f t="shared" ref="S200:S218" si="41">+F200-L200</f>
        <v>9.192981078336004</v>
      </c>
    </row>
    <row r="201" spans="1:19" x14ac:dyDescent="0.3">
      <c r="A201" t="s">
        <v>39</v>
      </c>
      <c r="B201">
        <v>77.177769999999995</v>
      </c>
      <c r="C201">
        <v>76.868099999999998</v>
      </c>
      <c r="D201">
        <v>72.86797</v>
      </c>
      <c r="E201">
        <v>66.865099999999998</v>
      </c>
      <c r="F201">
        <v>66.287729999999996</v>
      </c>
      <c r="H201">
        <f t="shared" si="30"/>
        <v>69.724170009999995</v>
      </c>
      <c r="I201">
        <f t="shared" si="33"/>
        <v>68.619602853025</v>
      </c>
      <c r="J201">
        <f t="shared" si="34"/>
        <v>64.741817212899988</v>
      </c>
      <c r="K201">
        <f t="shared" si="35"/>
        <v>59.529187146256</v>
      </c>
      <c r="L201">
        <f t="shared" si="36"/>
        <v>58.830464690404</v>
      </c>
      <c r="O201" s="15">
        <f t="shared" si="37"/>
        <v>7.4535999900000007</v>
      </c>
      <c r="P201" s="15">
        <f t="shared" si="38"/>
        <v>8.2484971469749979</v>
      </c>
      <c r="Q201" s="15">
        <f t="shared" si="39"/>
        <v>8.1261527871000112</v>
      </c>
      <c r="R201" s="15">
        <f t="shared" si="40"/>
        <v>7.3359128537439986</v>
      </c>
      <c r="S201" s="15">
        <f t="shared" si="41"/>
        <v>7.4572653095959964</v>
      </c>
    </row>
    <row r="202" spans="1:19" x14ac:dyDescent="0.3">
      <c r="A202" t="s">
        <v>40</v>
      </c>
      <c r="B202">
        <v>80.492450000000005</v>
      </c>
      <c r="C202">
        <v>75.45241</v>
      </c>
      <c r="D202">
        <v>69.835040000000006</v>
      </c>
      <c r="E202">
        <v>68.885480000000001</v>
      </c>
      <c r="F202">
        <v>70.351849999999999</v>
      </c>
      <c r="H202">
        <f t="shared" si="30"/>
        <v>73.457104186944008</v>
      </c>
      <c r="I202">
        <f t="shared" si="33"/>
        <v>68.423436247715998</v>
      </c>
      <c r="J202">
        <f t="shared" si="34"/>
        <v>61.930431028921006</v>
      </c>
      <c r="K202">
        <f t="shared" si="35"/>
        <v>60.918149880064</v>
      </c>
      <c r="L202">
        <f t="shared" si="36"/>
        <v>61.231110150961001</v>
      </c>
      <c r="O202" s="15">
        <f t="shared" si="37"/>
        <v>7.0353458130559972</v>
      </c>
      <c r="P202" s="15">
        <f t="shared" si="38"/>
        <v>7.0289737522840028</v>
      </c>
      <c r="Q202" s="15">
        <f t="shared" si="39"/>
        <v>7.904608971079</v>
      </c>
      <c r="R202" s="15">
        <f t="shared" si="40"/>
        <v>7.9673301199360012</v>
      </c>
      <c r="S202" s="15">
        <f t="shared" si="41"/>
        <v>9.1207398490389977</v>
      </c>
    </row>
    <row r="203" spans="1:19" x14ac:dyDescent="0.3">
      <c r="A203" t="s">
        <v>41</v>
      </c>
      <c r="B203">
        <v>75.010599999999997</v>
      </c>
      <c r="C203">
        <v>73.545910000000006</v>
      </c>
      <c r="D203">
        <v>72.657169999999994</v>
      </c>
      <c r="E203">
        <v>66.352969999999999</v>
      </c>
      <c r="F203">
        <v>68.222440000000006</v>
      </c>
      <c r="H203">
        <f t="shared" si="30"/>
        <v>67.242000814884008</v>
      </c>
      <c r="I203">
        <f t="shared" si="33"/>
        <v>65.52525278428898</v>
      </c>
      <c r="J203">
        <f t="shared" si="34"/>
        <v>64.493298915984013</v>
      </c>
      <c r="K203">
        <f t="shared" si="35"/>
        <v>58.908081025599998</v>
      </c>
      <c r="L203">
        <f t="shared" si="36"/>
        <v>61.364129592676001</v>
      </c>
      <c r="O203" s="15">
        <f t="shared" si="37"/>
        <v>7.7685991851159883</v>
      </c>
      <c r="P203" s="15">
        <f t="shared" si="38"/>
        <v>8.0206572157110259</v>
      </c>
      <c r="Q203" s="15">
        <f t="shared" si="39"/>
        <v>8.1638710840159803</v>
      </c>
      <c r="R203" s="15">
        <f t="shared" si="40"/>
        <v>7.4448889744000013</v>
      </c>
      <c r="S203" s="15">
        <f t="shared" si="41"/>
        <v>6.8583104073240051</v>
      </c>
    </row>
    <row r="204" spans="1:19" x14ac:dyDescent="0.3">
      <c r="A204" t="s">
        <v>42</v>
      </c>
      <c r="B204">
        <v>72.342730000000003</v>
      </c>
      <c r="C204">
        <v>73.763649999999998</v>
      </c>
      <c r="D204">
        <v>71.383319999999998</v>
      </c>
      <c r="E204">
        <v>73.724140000000006</v>
      </c>
      <c r="F204">
        <v>71.391210000000001</v>
      </c>
      <c r="H204">
        <f t="shared" si="30"/>
        <v>65.198034720899983</v>
      </c>
      <c r="I204">
        <f t="shared" si="33"/>
        <v>66.901979085769</v>
      </c>
      <c r="J204">
        <f t="shared" si="34"/>
        <v>63.628269353289006</v>
      </c>
      <c r="K204">
        <f t="shared" si="35"/>
        <v>66.291870888324013</v>
      </c>
      <c r="L204">
        <f t="shared" si="36"/>
        <v>63.932609749369</v>
      </c>
      <c r="O204" s="15">
        <f t="shared" si="37"/>
        <v>7.14469527910002</v>
      </c>
      <c r="P204" s="15">
        <f t="shared" si="38"/>
        <v>6.8616709142309986</v>
      </c>
      <c r="Q204" s="15">
        <f t="shared" si="39"/>
        <v>7.7550506467109912</v>
      </c>
      <c r="R204" s="15">
        <f t="shared" si="40"/>
        <v>7.4322691116759927</v>
      </c>
      <c r="S204" s="15">
        <f t="shared" si="41"/>
        <v>7.458600250631001</v>
      </c>
    </row>
    <row r="205" spans="1:19" x14ac:dyDescent="0.3">
      <c r="A205" t="s">
        <v>43</v>
      </c>
      <c r="B205">
        <v>87.133880000000005</v>
      </c>
      <c r="C205">
        <v>87.296790000000001</v>
      </c>
      <c r="D205">
        <v>87.271510000000006</v>
      </c>
      <c r="E205">
        <v>87.098159999999993</v>
      </c>
      <c r="F205">
        <v>82.415710000000004</v>
      </c>
      <c r="H205">
        <f t="shared" si="30"/>
        <v>79.692900159743985</v>
      </c>
      <c r="I205">
        <f t="shared" si="33"/>
        <v>79.886503305624998</v>
      </c>
      <c r="J205">
        <f t="shared" si="34"/>
        <v>78.557058750563996</v>
      </c>
      <c r="K205">
        <f t="shared" si="35"/>
        <v>77.005732134680983</v>
      </c>
      <c r="L205">
        <f t="shared" si="36"/>
        <v>72.819905437763992</v>
      </c>
      <c r="O205" s="15">
        <f t="shared" si="37"/>
        <v>7.4409798402560199</v>
      </c>
      <c r="P205" s="15">
        <f t="shared" si="38"/>
        <v>7.410286694375003</v>
      </c>
      <c r="Q205" s="15">
        <f t="shared" si="39"/>
        <v>8.71445124943601</v>
      </c>
      <c r="R205" s="15">
        <f t="shared" si="40"/>
        <v>10.09242786531901</v>
      </c>
      <c r="S205" s="15">
        <f t="shared" si="41"/>
        <v>9.5958045622360117</v>
      </c>
    </row>
    <row r="206" spans="1:19" x14ac:dyDescent="0.3">
      <c r="A206" t="s">
        <v>44</v>
      </c>
      <c r="B206">
        <v>73.179109999999994</v>
      </c>
      <c r="C206">
        <v>69.919690000000003</v>
      </c>
      <c r="D206">
        <v>65.896649999999994</v>
      </c>
      <c r="E206">
        <v>65.680440000000004</v>
      </c>
      <c r="F206">
        <v>65.496260000000007</v>
      </c>
      <c r="H206">
        <f t="shared" si="30"/>
        <v>65.532263040000004</v>
      </c>
      <c r="I206">
        <f t="shared" si="33"/>
        <v>62.761791550756008</v>
      </c>
      <c r="J206">
        <f t="shared" si="34"/>
        <v>58.728588517764003</v>
      </c>
      <c r="K206">
        <f t="shared" si="35"/>
        <v>58.486061073923992</v>
      </c>
      <c r="L206">
        <f t="shared" si="36"/>
        <v>58.193737624324001</v>
      </c>
      <c r="O206" s="15">
        <f t="shared" si="37"/>
        <v>7.6468469599999906</v>
      </c>
      <c r="P206" s="15">
        <f t="shared" si="38"/>
        <v>7.1578984492439943</v>
      </c>
      <c r="Q206" s="15">
        <f t="shared" si="39"/>
        <v>7.1680614822359914</v>
      </c>
      <c r="R206" s="15">
        <f t="shared" si="40"/>
        <v>7.1943789260760127</v>
      </c>
      <c r="S206" s="15">
        <f t="shared" si="41"/>
        <v>7.3025223756760056</v>
      </c>
    </row>
    <row r="207" spans="1:19" x14ac:dyDescent="0.3">
      <c r="A207" t="s">
        <v>45</v>
      </c>
      <c r="B207">
        <v>72.817009999999996</v>
      </c>
      <c r="C207">
        <v>73.83493</v>
      </c>
      <c r="D207">
        <v>72.982190000000003</v>
      </c>
      <c r="E207">
        <v>67.387860000000003</v>
      </c>
      <c r="F207">
        <v>68.822649999999996</v>
      </c>
      <c r="H207">
        <f t="shared" si="30"/>
        <v>65.657701467136008</v>
      </c>
      <c r="I207">
        <f t="shared" si="33"/>
        <v>66.662473054681001</v>
      </c>
      <c r="J207">
        <f t="shared" si="34"/>
        <v>64.868285187225013</v>
      </c>
      <c r="K207">
        <f t="shared" si="35"/>
        <v>60.129183998601</v>
      </c>
      <c r="L207">
        <f t="shared" si="36"/>
        <v>60.041421849599999</v>
      </c>
      <c r="O207" s="15">
        <f t="shared" si="37"/>
        <v>7.1593085328639887</v>
      </c>
      <c r="P207" s="15">
        <f t="shared" si="38"/>
        <v>7.1724569453189986</v>
      </c>
      <c r="Q207" s="15">
        <f t="shared" si="39"/>
        <v>8.1139048127749902</v>
      </c>
      <c r="R207" s="15">
        <f t="shared" si="40"/>
        <v>7.258676001399003</v>
      </c>
      <c r="S207" s="15">
        <f t="shared" si="41"/>
        <v>8.7812281503999969</v>
      </c>
    </row>
    <row r="208" spans="1:19" x14ac:dyDescent="0.3">
      <c r="A208" t="s">
        <v>46</v>
      </c>
      <c r="B208">
        <v>74.509540000000001</v>
      </c>
      <c r="C208">
        <v>87.299099999999996</v>
      </c>
      <c r="D208">
        <v>67.809619999999995</v>
      </c>
      <c r="E208">
        <v>70.866979999999998</v>
      </c>
      <c r="F208">
        <v>63.721710000000002</v>
      </c>
      <c r="H208">
        <f t="shared" si="30"/>
        <v>65.485562059224989</v>
      </c>
      <c r="I208">
        <f t="shared" si="33"/>
        <v>77.466719104324</v>
      </c>
      <c r="J208">
        <f t="shared" si="34"/>
        <v>62.207592578040995</v>
      </c>
      <c r="K208">
        <f t="shared" si="35"/>
        <v>63.620611920008997</v>
      </c>
      <c r="L208">
        <f t="shared" si="36"/>
        <v>56.996550755235994</v>
      </c>
      <c r="O208" s="15">
        <f t="shared" si="37"/>
        <v>9.023977940775012</v>
      </c>
      <c r="P208" s="15">
        <f t="shared" si="38"/>
        <v>9.8323808956759962</v>
      </c>
      <c r="Q208" s="15">
        <f t="shared" si="39"/>
        <v>5.6020274219590007</v>
      </c>
      <c r="R208" s="15">
        <f t="shared" si="40"/>
        <v>7.2463680799910009</v>
      </c>
      <c r="S208" s="15">
        <f t="shared" si="41"/>
        <v>6.7251592447640078</v>
      </c>
    </row>
    <row r="209" spans="1:19" x14ac:dyDescent="0.3">
      <c r="A209" t="s">
        <v>47</v>
      </c>
      <c r="B209">
        <v>74.035709999999995</v>
      </c>
      <c r="C209">
        <v>70.697850000000003</v>
      </c>
      <c r="D209">
        <v>65.566280000000006</v>
      </c>
      <c r="E209">
        <v>63.984789999999997</v>
      </c>
      <c r="F209">
        <v>66.727180000000004</v>
      </c>
      <c r="H209">
        <f t="shared" si="30"/>
        <v>67.520715975800982</v>
      </c>
      <c r="I209">
        <f t="shared" si="33"/>
        <v>64.028739225616008</v>
      </c>
      <c r="J209">
        <f t="shared" si="34"/>
        <v>58.403037427344003</v>
      </c>
      <c r="K209">
        <f t="shared" si="35"/>
        <v>57.051676201536004</v>
      </c>
      <c r="L209">
        <f t="shared" si="36"/>
        <v>58.626984394275993</v>
      </c>
      <c r="O209" s="15">
        <f t="shared" si="37"/>
        <v>6.5149940241990123</v>
      </c>
      <c r="P209" s="15">
        <f t="shared" si="38"/>
        <v>6.669110774383995</v>
      </c>
      <c r="Q209" s="15">
        <f t="shared" si="39"/>
        <v>7.1632425726560029</v>
      </c>
      <c r="R209" s="15">
        <f t="shared" si="40"/>
        <v>6.9331137984639923</v>
      </c>
      <c r="S209" s="15">
        <f t="shared" si="41"/>
        <v>8.1001956057240108</v>
      </c>
    </row>
    <row r="210" spans="1:19" x14ac:dyDescent="0.3">
      <c r="A210" t="s">
        <v>48</v>
      </c>
      <c r="B210">
        <v>81.279859999999999</v>
      </c>
      <c r="C210">
        <v>80.594120000000004</v>
      </c>
      <c r="D210">
        <v>76.866879999999995</v>
      </c>
      <c r="E210">
        <v>77.067710000000005</v>
      </c>
      <c r="F210">
        <v>83.027940000000001</v>
      </c>
      <c r="H210">
        <f t="shared" si="30"/>
        <v>73.368938031488995</v>
      </c>
      <c r="I210">
        <f t="shared" si="33"/>
        <v>72.580704563761017</v>
      </c>
      <c r="J210">
        <f t="shared" si="34"/>
        <v>68.099564044515986</v>
      </c>
      <c r="K210">
        <f t="shared" si="35"/>
        <v>67.967592108516001</v>
      </c>
      <c r="L210">
        <f t="shared" si="36"/>
        <v>73.592995620495998</v>
      </c>
      <c r="O210" s="15">
        <f t="shared" si="37"/>
        <v>7.9109219685110048</v>
      </c>
      <c r="P210" s="15">
        <f t="shared" si="38"/>
        <v>8.0134154362389864</v>
      </c>
      <c r="Q210" s="15">
        <f t="shared" si="39"/>
        <v>8.7673159554840083</v>
      </c>
      <c r="R210" s="15">
        <f t="shared" si="40"/>
        <v>9.100117891484004</v>
      </c>
      <c r="S210" s="15">
        <f t="shared" si="41"/>
        <v>9.4349443795040031</v>
      </c>
    </row>
    <row r="211" spans="1:19" x14ac:dyDescent="0.3">
      <c r="A211" t="s">
        <v>49</v>
      </c>
      <c r="B211">
        <v>90.193129999999996</v>
      </c>
      <c r="C211">
        <v>82.242679999999993</v>
      </c>
      <c r="D211">
        <v>79.114909999999995</v>
      </c>
      <c r="E211">
        <v>73.944929999999999</v>
      </c>
      <c r="F211">
        <v>72.980450000000005</v>
      </c>
      <c r="H211">
        <f t="shared" si="30"/>
        <v>82.514423225025013</v>
      </c>
      <c r="I211">
        <f t="shared" si="33"/>
        <v>73.698258783360998</v>
      </c>
      <c r="J211">
        <f t="shared" si="34"/>
        <v>71.962782015744011</v>
      </c>
      <c r="K211">
        <f t="shared" si="35"/>
        <v>65.818821894400003</v>
      </c>
      <c r="L211">
        <f t="shared" si="36"/>
        <v>65.705047398224991</v>
      </c>
      <c r="O211" s="15">
        <f t="shared" si="37"/>
        <v>7.6787067749749838</v>
      </c>
      <c r="P211" s="15">
        <f t="shared" si="38"/>
        <v>8.5444212166389946</v>
      </c>
      <c r="Q211" s="15">
        <f t="shared" si="39"/>
        <v>7.1521279842559835</v>
      </c>
      <c r="R211" s="15">
        <f t="shared" si="40"/>
        <v>8.1261081055999966</v>
      </c>
      <c r="S211" s="15">
        <f t="shared" si="41"/>
        <v>7.2754026017750135</v>
      </c>
    </row>
    <row r="212" spans="1:19" x14ac:dyDescent="0.3">
      <c r="A212" t="s">
        <v>50</v>
      </c>
      <c r="B212">
        <v>89.051479999999998</v>
      </c>
      <c r="C212">
        <v>83.921490000000006</v>
      </c>
      <c r="D212">
        <v>84.877409999999998</v>
      </c>
      <c r="E212">
        <v>86.764340000000004</v>
      </c>
      <c r="F212">
        <v>83.209900000000005</v>
      </c>
      <c r="H212">
        <f t="shared" si="30"/>
        <v>82.17252078883601</v>
      </c>
      <c r="I212">
        <f t="shared" si="33"/>
        <v>76.390449266569007</v>
      </c>
      <c r="J212">
        <f t="shared" si="34"/>
        <v>78.002139661924005</v>
      </c>
      <c r="K212">
        <f t="shared" si="35"/>
        <v>79.744935720003994</v>
      </c>
      <c r="L212">
        <f t="shared" si="36"/>
        <v>76.283437253520987</v>
      </c>
      <c r="O212" s="15">
        <f t="shared" si="37"/>
        <v>6.8789592111639877</v>
      </c>
      <c r="P212" s="15">
        <f t="shared" si="38"/>
        <v>7.5310407334309986</v>
      </c>
      <c r="Q212" s="15">
        <f t="shared" si="39"/>
        <v>6.8752703380759925</v>
      </c>
      <c r="R212" s="15">
        <f t="shared" si="40"/>
        <v>7.0194042799960101</v>
      </c>
      <c r="S212" s="15">
        <f t="shared" si="41"/>
        <v>6.9264627464790181</v>
      </c>
    </row>
    <row r="213" spans="1:19" x14ac:dyDescent="0.3">
      <c r="A213" t="s">
        <v>51</v>
      </c>
      <c r="B213">
        <v>98.539029999999997</v>
      </c>
      <c r="C213">
        <v>92.041480000000007</v>
      </c>
      <c r="D213">
        <v>90.415729999999996</v>
      </c>
      <c r="E213">
        <v>84.302809999999994</v>
      </c>
      <c r="F213">
        <v>76.351730000000003</v>
      </c>
      <c r="H213">
        <f t="shared" si="30"/>
        <v>92.446032792996007</v>
      </c>
      <c r="I213">
        <f t="shared" si="33"/>
        <v>86.059871707716013</v>
      </c>
      <c r="J213">
        <f t="shared" si="34"/>
        <v>83.865374102416013</v>
      </c>
      <c r="K213">
        <f t="shared" si="35"/>
        <v>77.255573935225001</v>
      </c>
      <c r="L213">
        <f t="shared" si="36"/>
        <v>69.182386584025011</v>
      </c>
      <c r="O213" s="15">
        <f t="shared" si="37"/>
        <v>6.0929972070039895</v>
      </c>
      <c r="P213" s="15">
        <f t="shared" si="38"/>
        <v>5.9816082922839939</v>
      </c>
      <c r="Q213" s="15">
        <f t="shared" si="39"/>
        <v>6.5503558975839837</v>
      </c>
      <c r="R213" s="15">
        <f t="shared" si="40"/>
        <v>7.0472360647749923</v>
      </c>
      <c r="S213" s="15">
        <f t="shared" si="41"/>
        <v>7.1693434159749927</v>
      </c>
    </row>
    <row r="214" spans="1:19" x14ac:dyDescent="0.3">
      <c r="A214" t="s">
        <v>52</v>
      </c>
      <c r="B214">
        <v>84.302689999999998</v>
      </c>
      <c r="C214">
        <v>82.537940000000006</v>
      </c>
      <c r="D214">
        <v>82.502979999999994</v>
      </c>
      <c r="E214">
        <v>81.013180000000006</v>
      </c>
      <c r="F214">
        <v>75.276179999999997</v>
      </c>
      <c r="H214">
        <f t="shared" si="30"/>
        <v>76.377147317603999</v>
      </c>
      <c r="I214">
        <f t="shared" si="33"/>
        <v>75.824701076644018</v>
      </c>
      <c r="J214">
        <f t="shared" si="34"/>
        <v>74.664029497224988</v>
      </c>
      <c r="K214">
        <f t="shared" si="35"/>
        <v>74.075422597263994</v>
      </c>
      <c r="L214">
        <f t="shared" si="36"/>
        <v>67.997604476356017</v>
      </c>
      <c r="O214" s="15">
        <f t="shared" si="37"/>
        <v>7.9255426823959993</v>
      </c>
      <c r="P214" s="15">
        <f t="shared" si="38"/>
        <v>6.7132389233559877</v>
      </c>
      <c r="Q214" s="15">
        <f t="shared" si="39"/>
        <v>7.8389505027750062</v>
      </c>
      <c r="R214" s="15">
        <f t="shared" si="40"/>
        <v>6.9377574027360112</v>
      </c>
      <c r="S214" s="15">
        <f t="shared" si="41"/>
        <v>7.2785755236439797</v>
      </c>
    </row>
    <row r="215" spans="1:19" x14ac:dyDescent="0.3">
      <c r="A215" t="s">
        <v>53</v>
      </c>
      <c r="B215">
        <v>102.6904</v>
      </c>
      <c r="C215">
        <v>91.480220000000003</v>
      </c>
      <c r="D215">
        <v>84.280050000000003</v>
      </c>
      <c r="E215">
        <v>82.070350000000005</v>
      </c>
      <c r="F215">
        <v>79.195350000000005</v>
      </c>
      <c r="H215">
        <f t="shared" si="30"/>
        <v>96.43406940722501</v>
      </c>
      <c r="I215">
        <f t="shared" si="33"/>
        <v>84.589058067361009</v>
      </c>
      <c r="J215">
        <f t="shared" si="34"/>
        <v>77.622143777648986</v>
      </c>
      <c r="K215">
        <f t="shared" si="35"/>
        <v>75.724142649444005</v>
      </c>
      <c r="L215">
        <f t="shared" si="36"/>
        <v>71.610436667024985</v>
      </c>
      <c r="O215" s="15">
        <f t="shared" si="37"/>
        <v>6.2563305927749866</v>
      </c>
      <c r="P215" s="15">
        <f t="shared" si="38"/>
        <v>6.8911619326389939</v>
      </c>
      <c r="Q215" s="15">
        <f t="shared" si="39"/>
        <v>6.6579062223510164</v>
      </c>
      <c r="R215" s="15">
        <f t="shared" si="40"/>
        <v>6.3462073505559999</v>
      </c>
      <c r="S215" s="15">
        <f t="shared" si="41"/>
        <v>7.5849133329750202</v>
      </c>
    </row>
    <row r="216" spans="1:19" x14ac:dyDescent="0.3">
      <c r="A216" t="s">
        <v>54</v>
      </c>
      <c r="B216">
        <v>85.554990000000004</v>
      </c>
      <c r="C216">
        <v>85.831119999999999</v>
      </c>
      <c r="D216">
        <v>79.428470000000004</v>
      </c>
      <c r="E216">
        <v>82.04804</v>
      </c>
      <c r="F216">
        <v>78.7774</v>
      </c>
      <c r="H216">
        <f t="shared" si="30"/>
        <v>78.277636926225</v>
      </c>
      <c r="I216">
        <f t="shared" si="33"/>
        <v>78.256262910048989</v>
      </c>
      <c r="J216">
        <f t="shared" si="34"/>
        <v>71.18153471722502</v>
      </c>
      <c r="K216">
        <f t="shared" si="35"/>
        <v>75.060217512899982</v>
      </c>
      <c r="L216">
        <f t="shared" si="36"/>
        <v>69.86134605609999</v>
      </c>
      <c r="O216" s="15">
        <f t="shared" si="37"/>
        <v>7.2773530737750036</v>
      </c>
      <c r="P216" s="15">
        <f t="shared" si="38"/>
        <v>7.5748570899510099</v>
      </c>
      <c r="Q216" s="15">
        <f t="shared" si="39"/>
        <v>8.2469352827749844</v>
      </c>
      <c r="R216" s="15">
        <f t="shared" si="40"/>
        <v>6.9878224871000185</v>
      </c>
      <c r="S216" s="15">
        <f t="shared" si="41"/>
        <v>8.9160539439000104</v>
      </c>
    </row>
    <row r="217" spans="1:19" x14ac:dyDescent="0.3">
      <c r="A217" t="s">
        <v>55</v>
      </c>
      <c r="B217">
        <v>97.665170000000003</v>
      </c>
      <c r="C217">
        <v>93.746120000000005</v>
      </c>
      <c r="D217">
        <v>93.589910000000003</v>
      </c>
      <c r="E217">
        <v>85.389340000000004</v>
      </c>
      <c r="F217">
        <v>82.298919999999995</v>
      </c>
      <c r="H217">
        <f t="shared" si="30"/>
        <v>91.282966940943993</v>
      </c>
      <c r="I217">
        <f t="shared" si="33"/>
        <v>87.072058600081007</v>
      </c>
      <c r="J217">
        <f t="shared" si="34"/>
        <v>87.147396666728994</v>
      </c>
      <c r="K217">
        <f t="shared" si="35"/>
        <v>78.024786250896</v>
      </c>
      <c r="L217">
        <f t="shared" si="36"/>
        <v>74.543573035044005</v>
      </c>
      <c r="O217" s="15">
        <f t="shared" si="37"/>
        <v>6.3822030590560104</v>
      </c>
      <c r="P217" s="15">
        <f t="shared" si="38"/>
        <v>6.6740613999189975</v>
      </c>
      <c r="Q217" s="15">
        <f t="shared" si="39"/>
        <v>6.4425133332710089</v>
      </c>
      <c r="R217" s="15">
        <f t="shared" si="40"/>
        <v>7.3645537491040045</v>
      </c>
      <c r="S217" s="15">
        <f t="shared" si="41"/>
        <v>7.7553469649559901</v>
      </c>
    </row>
    <row r="218" spans="1:19" x14ac:dyDescent="0.3">
      <c r="A218" t="s">
        <v>56</v>
      </c>
      <c r="B218">
        <v>87.19511</v>
      </c>
      <c r="C218">
        <v>80.967910000000003</v>
      </c>
      <c r="D218">
        <v>76.528059999999996</v>
      </c>
      <c r="E218">
        <v>69.333430000000007</v>
      </c>
      <c r="F218">
        <v>69.328220000000002</v>
      </c>
      <c r="H218">
        <f t="shared" si="30"/>
        <v>80.286725201796003</v>
      </c>
      <c r="I218">
        <f t="shared" si="33"/>
        <v>72.955667705281002</v>
      </c>
      <c r="J218">
        <f t="shared" si="34"/>
        <v>67.880610182961021</v>
      </c>
      <c r="K218">
        <f t="shared" si="35"/>
        <v>60.353911613284005</v>
      </c>
      <c r="L218">
        <f t="shared" si="36"/>
        <v>60.640810902840997</v>
      </c>
      <c r="O218" s="15">
        <f t="shared" si="37"/>
        <v>6.908384798203997</v>
      </c>
      <c r="P218" s="15">
        <f t="shared" si="38"/>
        <v>8.0122422947190017</v>
      </c>
      <c r="Q218" s="15">
        <f t="shared" si="39"/>
        <v>8.6474498170389751</v>
      </c>
      <c r="R218" s="15">
        <f t="shared" si="40"/>
        <v>8.979518386716002</v>
      </c>
      <c r="S218" s="15">
        <f t="shared" si="41"/>
        <v>8.687409097159005</v>
      </c>
    </row>
    <row r="220" spans="1:19" x14ac:dyDescent="0.3">
      <c r="A220" s="11" t="s">
        <v>35</v>
      </c>
    </row>
    <row r="221" spans="1:19" x14ac:dyDescent="0.3">
      <c r="A221" t="s">
        <v>63</v>
      </c>
      <c r="B221" t="s">
        <v>58</v>
      </c>
      <c r="C221" t="s">
        <v>59</v>
      </c>
      <c r="D221" t="s">
        <v>60</v>
      </c>
      <c r="E221" t="s">
        <v>61</v>
      </c>
      <c r="F221" t="s">
        <v>62</v>
      </c>
      <c r="G221" s="13" t="s">
        <v>75</v>
      </c>
    </row>
    <row r="222" spans="1:19" x14ac:dyDescent="0.3">
      <c r="A222" t="s">
        <v>37</v>
      </c>
      <c r="B222" s="12">
        <v>0.27739029999999998</v>
      </c>
      <c r="C222">
        <v>0.26945049999999998</v>
      </c>
      <c r="D222">
        <v>0.26597150000000003</v>
      </c>
      <c r="E222">
        <v>0.26207190000000002</v>
      </c>
      <c r="F222">
        <v>0.25930900000000001</v>
      </c>
      <c r="G222" s="14">
        <f>+AVERAGE(B222:F222)</f>
        <v>0.26683864000000002</v>
      </c>
    </row>
    <row r="223" spans="1:19" x14ac:dyDescent="0.3">
      <c r="A223" t="s">
        <v>38</v>
      </c>
      <c r="B223">
        <v>0.2775145</v>
      </c>
      <c r="C223">
        <v>0.26765810000000001</v>
      </c>
      <c r="D223">
        <v>0.26797870000000001</v>
      </c>
      <c r="E223">
        <v>0.26066820000000002</v>
      </c>
      <c r="F223">
        <v>0.25845570000000001</v>
      </c>
      <c r="G223" s="14">
        <f t="shared" ref="G223:G241" si="42">+AVERAGE(B223:F223)</f>
        <v>0.26645503999999998</v>
      </c>
    </row>
    <row r="224" spans="1:19" x14ac:dyDescent="0.3">
      <c r="A224" t="s">
        <v>39</v>
      </c>
      <c r="B224">
        <v>0.27332000000000001</v>
      </c>
      <c r="C224">
        <v>0.2676249</v>
      </c>
      <c r="D224">
        <v>0.26430730000000002</v>
      </c>
      <c r="E224">
        <v>0.26079930000000001</v>
      </c>
      <c r="F224">
        <v>0.25882889999999997</v>
      </c>
      <c r="G224" s="14">
        <f t="shared" si="42"/>
        <v>0.26497607999999995</v>
      </c>
    </row>
    <row r="225" spans="1:7" x14ac:dyDescent="0.3">
      <c r="A225" t="s">
        <v>40</v>
      </c>
      <c r="B225">
        <v>0.27184239999999998</v>
      </c>
      <c r="C225">
        <v>0.26751320000000001</v>
      </c>
      <c r="D225">
        <v>0.26336530000000002</v>
      </c>
      <c r="E225">
        <v>0.26176300000000002</v>
      </c>
      <c r="F225">
        <v>0.2578685</v>
      </c>
      <c r="G225" s="14">
        <f t="shared" si="42"/>
        <v>0.26447048000000001</v>
      </c>
    </row>
    <row r="226" spans="1:7" x14ac:dyDescent="0.3">
      <c r="A226" t="s">
        <v>41</v>
      </c>
      <c r="B226">
        <v>0.27359270000000002</v>
      </c>
      <c r="C226">
        <v>0.26909749999999999</v>
      </c>
      <c r="D226">
        <v>0.26531329999999997</v>
      </c>
      <c r="E226">
        <v>0.26320700000000002</v>
      </c>
      <c r="F226">
        <v>0.26059130000000003</v>
      </c>
      <c r="G226" s="14">
        <f t="shared" si="42"/>
        <v>0.26636036000000002</v>
      </c>
    </row>
    <row r="227" spans="1:7" x14ac:dyDescent="0.3">
      <c r="A227" t="s">
        <v>42</v>
      </c>
      <c r="B227">
        <v>0.28173520000000002</v>
      </c>
      <c r="C227">
        <v>0.27016580000000001</v>
      </c>
      <c r="D227">
        <v>0.26725130000000002</v>
      </c>
      <c r="E227">
        <v>0.2630285</v>
      </c>
      <c r="F227">
        <v>0.26127810000000001</v>
      </c>
      <c r="G227" s="14">
        <f t="shared" si="42"/>
        <v>0.26869178000000005</v>
      </c>
    </row>
    <row r="228" spans="1:7" x14ac:dyDescent="0.3">
      <c r="A228" t="s">
        <v>43</v>
      </c>
      <c r="B228">
        <v>0.28091339999999998</v>
      </c>
      <c r="C228">
        <v>0.27201619999999999</v>
      </c>
      <c r="D228">
        <v>0.2672852</v>
      </c>
      <c r="E228">
        <v>0.26498699999999997</v>
      </c>
      <c r="F228">
        <v>0.26124920000000001</v>
      </c>
      <c r="G228" s="14">
        <f t="shared" si="42"/>
        <v>0.26929019999999998</v>
      </c>
    </row>
    <row r="229" spans="1:7" x14ac:dyDescent="0.3">
      <c r="A229" t="s">
        <v>44</v>
      </c>
      <c r="B229">
        <v>0.27681699999999998</v>
      </c>
      <c r="C229">
        <v>0.26724900000000001</v>
      </c>
      <c r="D229">
        <v>0.26492599999999999</v>
      </c>
      <c r="E229">
        <v>0.26126080000000002</v>
      </c>
      <c r="F229">
        <v>0.26016410000000001</v>
      </c>
      <c r="G229" s="14">
        <f t="shared" si="42"/>
        <v>0.26608337999999998</v>
      </c>
    </row>
    <row r="230" spans="1:7" x14ac:dyDescent="0.3">
      <c r="A230" t="s">
        <v>45</v>
      </c>
      <c r="B230">
        <v>0.27648719999999999</v>
      </c>
      <c r="C230">
        <v>0.27005269999999998</v>
      </c>
      <c r="D230">
        <v>0.26503060000000001</v>
      </c>
      <c r="E230">
        <v>0.26320070000000001</v>
      </c>
      <c r="F230">
        <v>0.26084259999999998</v>
      </c>
      <c r="G230" s="14">
        <f t="shared" si="42"/>
        <v>0.26712276000000001</v>
      </c>
    </row>
    <row r="231" spans="1:7" x14ac:dyDescent="0.3">
      <c r="A231" t="s">
        <v>46</v>
      </c>
      <c r="B231">
        <v>0.2852189</v>
      </c>
      <c r="C231">
        <v>0.27714519999999998</v>
      </c>
      <c r="D231">
        <v>0.27067770000000002</v>
      </c>
      <c r="E231">
        <v>0.26593679999999997</v>
      </c>
      <c r="F231">
        <v>0.26097799999999999</v>
      </c>
      <c r="G231" s="14">
        <f t="shared" si="42"/>
        <v>0.27199131999999998</v>
      </c>
    </row>
    <row r="232" spans="1:7" x14ac:dyDescent="0.3">
      <c r="A232" t="s">
        <v>47</v>
      </c>
      <c r="B232">
        <v>0.28102640000000001</v>
      </c>
      <c r="C232">
        <v>0.27192660000000002</v>
      </c>
      <c r="D232">
        <v>0.26822020000000002</v>
      </c>
      <c r="E232">
        <v>0.26510519999999999</v>
      </c>
      <c r="F232">
        <v>0.26103019999999999</v>
      </c>
      <c r="G232" s="14">
        <f t="shared" si="42"/>
        <v>0.26946172000000002</v>
      </c>
    </row>
    <row r="233" spans="1:7" x14ac:dyDescent="0.3">
      <c r="A233" t="s">
        <v>48</v>
      </c>
      <c r="B233">
        <v>0.2804721</v>
      </c>
      <c r="C233">
        <v>0.2734568</v>
      </c>
      <c r="D233">
        <v>0.26849329999999999</v>
      </c>
      <c r="E233">
        <v>0.2645612</v>
      </c>
      <c r="F233">
        <v>0.26031090000000001</v>
      </c>
      <c r="G233" s="14">
        <f t="shared" si="42"/>
        <v>0.26945886000000002</v>
      </c>
    </row>
    <row r="234" spans="1:7" x14ac:dyDescent="0.3">
      <c r="A234" t="s">
        <v>49</v>
      </c>
      <c r="B234">
        <v>0.27984819999999999</v>
      </c>
      <c r="C234">
        <v>0.27528130000000001</v>
      </c>
      <c r="D234">
        <v>0.26828479999999999</v>
      </c>
      <c r="E234">
        <v>0.26607629999999999</v>
      </c>
      <c r="F234">
        <v>0.25995620000000003</v>
      </c>
      <c r="G234" s="14">
        <f t="shared" si="42"/>
        <v>0.26988935999999997</v>
      </c>
    </row>
    <row r="235" spans="1:7" x14ac:dyDescent="0.3">
      <c r="A235" t="s">
        <v>50</v>
      </c>
      <c r="B235">
        <v>0.28671039999999998</v>
      </c>
      <c r="C235">
        <v>0.27725909999999998</v>
      </c>
      <c r="D235">
        <v>0.27144269999999998</v>
      </c>
      <c r="E235">
        <v>0.26568150000000001</v>
      </c>
      <c r="F235">
        <v>0.26084750000000001</v>
      </c>
      <c r="G235" s="14">
        <f t="shared" si="42"/>
        <v>0.27238824</v>
      </c>
    </row>
    <row r="236" spans="1:7" x14ac:dyDescent="0.3">
      <c r="A236" t="s">
        <v>51</v>
      </c>
      <c r="B236">
        <v>0.28456300000000001</v>
      </c>
      <c r="C236">
        <v>0.27438839999999998</v>
      </c>
      <c r="D236">
        <v>0.27178609999999997</v>
      </c>
      <c r="E236">
        <v>0.26751770000000002</v>
      </c>
      <c r="F236">
        <v>0.26382100000000003</v>
      </c>
      <c r="G236" s="14">
        <f t="shared" si="42"/>
        <v>0.27241524</v>
      </c>
    </row>
    <row r="237" spans="1:7" x14ac:dyDescent="0.3">
      <c r="A237" t="s">
        <v>52</v>
      </c>
      <c r="B237">
        <v>0.28799989999999998</v>
      </c>
      <c r="C237">
        <v>0.2747811</v>
      </c>
      <c r="D237">
        <v>0.27146809999999999</v>
      </c>
      <c r="E237">
        <v>0.26811479999999999</v>
      </c>
      <c r="F237">
        <v>0.2633955</v>
      </c>
      <c r="G237" s="14">
        <f t="shared" si="42"/>
        <v>0.27315188000000001</v>
      </c>
    </row>
    <row r="238" spans="1:7" x14ac:dyDescent="0.3">
      <c r="A238" t="s">
        <v>53</v>
      </c>
      <c r="B238">
        <v>0.29312680000000002</v>
      </c>
      <c r="C238">
        <v>0.28030699999999997</v>
      </c>
      <c r="D238">
        <v>0.27374389999999998</v>
      </c>
      <c r="E238">
        <v>0.27033669999999999</v>
      </c>
      <c r="F238">
        <v>0.26509830000000001</v>
      </c>
      <c r="G238" s="14">
        <f t="shared" si="42"/>
        <v>0.27652254000000004</v>
      </c>
    </row>
    <row r="239" spans="1:7" x14ac:dyDescent="0.3">
      <c r="A239" t="s">
        <v>54</v>
      </c>
      <c r="B239">
        <v>0.29181390000000001</v>
      </c>
      <c r="C239">
        <v>0.27949639999999998</v>
      </c>
      <c r="D239">
        <v>0.27781169999999999</v>
      </c>
      <c r="E239">
        <v>0.27201069999999999</v>
      </c>
      <c r="F239">
        <v>0.26697969999999999</v>
      </c>
      <c r="G239" s="14">
        <f t="shared" si="42"/>
        <v>0.27762248</v>
      </c>
    </row>
    <row r="240" spans="1:7" x14ac:dyDescent="0.3">
      <c r="A240" t="s">
        <v>55</v>
      </c>
      <c r="B240">
        <v>0.28991650000000002</v>
      </c>
      <c r="C240">
        <v>0.28138990000000003</v>
      </c>
      <c r="D240">
        <v>0.27807290000000001</v>
      </c>
      <c r="E240">
        <v>0.26793679999999997</v>
      </c>
      <c r="F240">
        <v>0.26569769999999998</v>
      </c>
      <c r="G240" s="14">
        <f t="shared" si="42"/>
        <v>0.27660276</v>
      </c>
    </row>
    <row r="241" spans="1:7" x14ac:dyDescent="0.3">
      <c r="A241" t="s">
        <v>56</v>
      </c>
      <c r="B241">
        <v>0.29021560000000002</v>
      </c>
      <c r="C241">
        <v>0.2806961</v>
      </c>
      <c r="D241">
        <v>0.2746401</v>
      </c>
      <c r="E241">
        <v>0.27040449999999999</v>
      </c>
      <c r="F241">
        <v>0.26435959999999997</v>
      </c>
      <c r="G241" s="14">
        <f t="shared" si="42"/>
        <v>0.27606317999999996</v>
      </c>
    </row>
    <row r="242" spans="1:7" x14ac:dyDescent="0.3">
      <c r="A242" s="13" t="s">
        <v>75</v>
      </c>
      <c r="B242" s="14">
        <f>+AVERAGE(B222:B241)</f>
        <v>0.28202621999999999</v>
      </c>
      <c r="C242" s="14">
        <f t="shared" ref="C242" si="43">+AVERAGE(C222:C241)</f>
        <v>0.27334778999999998</v>
      </c>
      <c r="D242" s="14">
        <f t="shared" ref="D242" si="44">+AVERAGE(D222:D241)</f>
        <v>0.26930353500000004</v>
      </c>
      <c r="E242" s="14">
        <f t="shared" ref="E242" si="45">+AVERAGE(E222:E241)</f>
        <v>0.26523342999999999</v>
      </c>
      <c r="F242" s="14">
        <f t="shared" ref="F242" si="46">+AVERAGE(F222:F241)</f>
        <v>0.26155309999999998</v>
      </c>
    </row>
    <row r="244" spans="1:7" x14ac:dyDescent="0.3">
      <c r="A244" s="11" t="s">
        <v>65</v>
      </c>
    </row>
    <row r="245" spans="1:7" x14ac:dyDescent="0.3">
      <c r="A245" t="s">
        <v>63</v>
      </c>
      <c r="B245" t="s">
        <v>58</v>
      </c>
      <c r="C245" t="s">
        <v>59</v>
      </c>
      <c r="D245" t="s">
        <v>60</v>
      </c>
      <c r="E245" t="s">
        <v>61</v>
      </c>
      <c r="F245" t="s">
        <v>62</v>
      </c>
      <c r="G245" s="13" t="s">
        <v>75</v>
      </c>
    </row>
    <row r="246" spans="1:7" x14ac:dyDescent="0.3">
      <c r="A246" t="s">
        <v>37</v>
      </c>
      <c r="B246">
        <v>6.693403</v>
      </c>
      <c r="C246">
        <v>6.990774</v>
      </c>
      <c r="D246">
        <v>7.2491159999999999</v>
      </c>
      <c r="E246">
        <v>7.2384620000000002</v>
      </c>
      <c r="F246">
        <v>7.167427</v>
      </c>
      <c r="G246" s="14">
        <f>+AVERAGE(B246:F246)</f>
        <v>7.0678363999999991</v>
      </c>
    </row>
    <row r="247" spans="1:7" x14ac:dyDescent="0.3">
      <c r="A247" t="s">
        <v>38</v>
      </c>
      <c r="B247">
        <v>7.169753</v>
      </c>
      <c r="C247">
        <v>7.2140430000000002</v>
      </c>
      <c r="D247">
        <v>7.3101839999999996</v>
      </c>
      <c r="E247">
        <v>6.9713010000000004</v>
      </c>
      <c r="F247">
        <v>7.0678999999999998</v>
      </c>
      <c r="G247" s="14">
        <f t="shared" ref="G247:G265" si="47">+AVERAGE(B247:F247)</f>
        <v>7.1466362000000005</v>
      </c>
    </row>
    <row r="248" spans="1:7" x14ac:dyDescent="0.3">
      <c r="A248" t="s">
        <v>39</v>
      </c>
      <c r="B248">
        <v>7.1180969999999997</v>
      </c>
      <c r="C248">
        <v>7.1754920000000002</v>
      </c>
      <c r="D248">
        <v>7.10642</v>
      </c>
      <c r="E248">
        <v>7.2707410000000001</v>
      </c>
      <c r="F248">
        <v>7.2867379999999997</v>
      </c>
      <c r="G248" s="14">
        <f t="shared" si="47"/>
        <v>7.1914975999999999</v>
      </c>
    </row>
    <row r="249" spans="1:7" x14ac:dyDescent="0.3">
      <c r="A249" t="s">
        <v>40</v>
      </c>
      <c r="B249">
        <v>7.348897</v>
      </c>
      <c r="C249">
        <v>7.5909000000000004</v>
      </c>
      <c r="D249">
        <v>7.6918309999999996</v>
      </c>
      <c r="E249">
        <v>7.6207539999999998</v>
      </c>
      <c r="F249">
        <v>7.8312249999999999</v>
      </c>
      <c r="G249" s="14">
        <f t="shared" si="47"/>
        <v>7.6167214000000003</v>
      </c>
    </row>
    <row r="250" spans="1:7" x14ac:dyDescent="0.3">
      <c r="A250" t="s">
        <v>41</v>
      </c>
      <c r="B250">
        <v>6.8459839999999996</v>
      </c>
      <c r="C250">
        <v>6.9290909999999997</v>
      </c>
      <c r="D250">
        <v>6.8400949999999998</v>
      </c>
      <c r="E250">
        <v>7.0914830000000002</v>
      </c>
      <c r="F250">
        <v>7.0332309999999998</v>
      </c>
      <c r="G250" s="14">
        <f t="shared" si="47"/>
        <v>6.9479767999999993</v>
      </c>
    </row>
    <row r="251" spans="1:7" x14ac:dyDescent="0.3">
      <c r="A251" t="s">
        <v>42</v>
      </c>
      <c r="B251">
        <v>7.1758670000000002</v>
      </c>
      <c r="C251">
        <v>7.1731870000000004</v>
      </c>
      <c r="D251">
        <v>7.097747</v>
      </c>
      <c r="E251">
        <v>7.1948670000000003</v>
      </c>
      <c r="F251">
        <v>7.2820150000000003</v>
      </c>
      <c r="G251" s="14">
        <f t="shared" si="47"/>
        <v>7.1847366000000008</v>
      </c>
    </row>
    <row r="252" spans="1:7" x14ac:dyDescent="0.3">
      <c r="A252" t="s">
        <v>43</v>
      </c>
      <c r="B252">
        <v>6.9043359999999998</v>
      </c>
      <c r="C252">
        <v>7.0219620000000003</v>
      </c>
      <c r="D252">
        <v>6.9699970000000002</v>
      </c>
      <c r="E252">
        <v>6.9806229999999996</v>
      </c>
      <c r="F252">
        <v>7.0544409999999997</v>
      </c>
      <c r="G252" s="14">
        <f t="shared" si="47"/>
        <v>6.986271799999999</v>
      </c>
    </row>
    <row r="253" spans="1:7" x14ac:dyDescent="0.3">
      <c r="A253" t="s">
        <v>44</v>
      </c>
      <c r="B253">
        <v>6.6365970000000001</v>
      </c>
      <c r="C253">
        <v>6.7275749999999999</v>
      </c>
      <c r="D253">
        <v>6.9138710000000003</v>
      </c>
      <c r="E253">
        <v>6.8944890000000001</v>
      </c>
      <c r="F253">
        <v>6.9197709999999999</v>
      </c>
      <c r="G253" s="14">
        <f t="shared" si="47"/>
        <v>6.8184605999999999</v>
      </c>
    </row>
    <row r="254" spans="1:7" x14ac:dyDescent="0.3">
      <c r="A254" t="s">
        <v>45</v>
      </c>
      <c r="B254">
        <v>6.84877</v>
      </c>
      <c r="C254">
        <v>6.9580510000000002</v>
      </c>
      <c r="D254">
        <v>6.9139359999999996</v>
      </c>
      <c r="E254">
        <v>6.7854450000000002</v>
      </c>
      <c r="F254">
        <v>6.8915050000000004</v>
      </c>
      <c r="G254" s="14">
        <f t="shared" si="47"/>
        <v>6.879541399999999</v>
      </c>
    </row>
    <row r="255" spans="1:7" x14ac:dyDescent="0.3">
      <c r="A255" t="s">
        <v>46</v>
      </c>
      <c r="B255">
        <v>6.684463</v>
      </c>
      <c r="C255">
        <v>6.4905809999999997</v>
      </c>
      <c r="D255">
        <v>7.2473340000000004</v>
      </c>
      <c r="E255">
        <v>6.8371680000000001</v>
      </c>
      <c r="F255">
        <v>7.280017</v>
      </c>
      <c r="G255" s="14">
        <f t="shared" si="47"/>
        <v>6.9079126000000004</v>
      </c>
    </row>
    <row r="256" spans="1:7" x14ac:dyDescent="0.3">
      <c r="A256" t="s">
        <v>47</v>
      </c>
      <c r="B256">
        <v>6.7847929999999996</v>
      </c>
      <c r="C256">
        <v>6.7949869999999999</v>
      </c>
      <c r="D256">
        <v>6.9283239999999999</v>
      </c>
      <c r="E256">
        <v>6.8559890000000001</v>
      </c>
      <c r="F256">
        <v>6.8337339999999998</v>
      </c>
      <c r="G256" s="14">
        <f t="shared" si="47"/>
        <v>6.8395654000000006</v>
      </c>
    </row>
    <row r="257" spans="1:7" x14ac:dyDescent="0.3">
      <c r="A257" t="s">
        <v>48</v>
      </c>
      <c r="B257">
        <v>6.5597500000000002</v>
      </c>
      <c r="C257">
        <v>6.5931430000000004</v>
      </c>
      <c r="D257">
        <v>6.7666459999999997</v>
      </c>
      <c r="E257">
        <v>6.7060149999999998</v>
      </c>
      <c r="F257">
        <v>6.8920130000000004</v>
      </c>
      <c r="G257" s="14">
        <f t="shared" si="47"/>
        <v>6.7035134000000003</v>
      </c>
    </row>
    <row r="258" spans="1:7" x14ac:dyDescent="0.3">
      <c r="A258" t="s">
        <v>49</v>
      </c>
      <c r="B258">
        <v>6.7938210000000003</v>
      </c>
      <c r="C258">
        <v>6.8918140000000001</v>
      </c>
      <c r="D258">
        <v>6.9700769999999999</v>
      </c>
      <c r="E258">
        <v>7.0600100000000001</v>
      </c>
      <c r="F258">
        <v>7.0040709999999997</v>
      </c>
      <c r="G258" s="14">
        <f t="shared" si="47"/>
        <v>6.9439585999999993</v>
      </c>
    </row>
    <row r="259" spans="1:7" x14ac:dyDescent="0.3">
      <c r="A259" t="s">
        <v>50</v>
      </c>
      <c r="B259">
        <v>6.8144090000000004</v>
      </c>
      <c r="C259">
        <v>6.8456929999999998</v>
      </c>
      <c r="D259">
        <v>6.9610700000000003</v>
      </c>
      <c r="E259">
        <v>6.9427469999999998</v>
      </c>
      <c r="F259">
        <v>6.9037449999999998</v>
      </c>
      <c r="G259" s="14">
        <f t="shared" si="47"/>
        <v>6.8935328</v>
      </c>
    </row>
    <row r="260" spans="1:7" x14ac:dyDescent="0.3">
      <c r="A260" t="s">
        <v>51</v>
      </c>
      <c r="B260">
        <v>6.4978899999999999</v>
      </c>
      <c r="C260">
        <v>6.6475499999999998</v>
      </c>
      <c r="D260">
        <v>6.5725699999999998</v>
      </c>
      <c r="E260">
        <v>6.6938149999999998</v>
      </c>
      <c r="F260">
        <v>6.674512</v>
      </c>
      <c r="G260" s="14">
        <f t="shared" si="47"/>
        <v>6.6172674000000002</v>
      </c>
    </row>
    <row r="261" spans="1:7" x14ac:dyDescent="0.3">
      <c r="A261" t="s">
        <v>52</v>
      </c>
      <c r="B261">
        <v>6.5869609999999996</v>
      </c>
      <c r="C261">
        <v>6.861853</v>
      </c>
      <c r="D261">
        <v>6.7968019999999996</v>
      </c>
      <c r="E261">
        <v>6.8987369999999997</v>
      </c>
      <c r="F261">
        <v>6.9444509999999999</v>
      </c>
      <c r="G261" s="14">
        <f t="shared" si="47"/>
        <v>6.8177607999999994</v>
      </c>
    </row>
    <row r="262" spans="1:7" x14ac:dyDescent="0.3">
      <c r="A262" t="s">
        <v>53</v>
      </c>
      <c r="B262">
        <v>6.0753110000000001</v>
      </c>
      <c r="C262">
        <v>6.3511610000000003</v>
      </c>
      <c r="D262">
        <v>6.4743440000000003</v>
      </c>
      <c r="E262">
        <v>6.698188</v>
      </c>
      <c r="F262">
        <v>6.4916499999999999</v>
      </c>
      <c r="G262" s="14">
        <f t="shared" si="47"/>
        <v>6.4181308000000001</v>
      </c>
    </row>
    <row r="263" spans="1:7" x14ac:dyDescent="0.3">
      <c r="A263" t="s">
        <v>54</v>
      </c>
      <c r="B263">
        <v>6.9230809999999998</v>
      </c>
      <c r="C263">
        <v>7.0682020000000003</v>
      </c>
      <c r="D263">
        <v>6.9485650000000003</v>
      </c>
      <c r="E263">
        <v>6.9701919999999999</v>
      </c>
      <c r="F263">
        <v>6.9821780000000002</v>
      </c>
      <c r="G263" s="14">
        <f t="shared" si="47"/>
        <v>6.9784436000000003</v>
      </c>
    </row>
    <row r="264" spans="1:7" x14ac:dyDescent="0.3">
      <c r="A264" t="s">
        <v>55</v>
      </c>
      <c r="B264">
        <v>6.1841150000000003</v>
      </c>
      <c r="C264">
        <v>6.5045419999999998</v>
      </c>
      <c r="D264">
        <v>6.5075810000000001</v>
      </c>
      <c r="E264">
        <v>6.7075269999999998</v>
      </c>
      <c r="F264">
        <v>6.8020250000000004</v>
      </c>
      <c r="G264" s="14">
        <f t="shared" si="47"/>
        <v>6.5411580000000002</v>
      </c>
    </row>
    <row r="265" spans="1:7" x14ac:dyDescent="0.3">
      <c r="A265" t="s">
        <v>56</v>
      </c>
      <c r="B265">
        <v>6.6158460000000003</v>
      </c>
      <c r="C265">
        <v>7.2191830000000001</v>
      </c>
      <c r="D265">
        <v>7.0699680000000003</v>
      </c>
      <c r="E265">
        <v>7.0866259999999999</v>
      </c>
      <c r="F265">
        <v>6.9885950000000001</v>
      </c>
      <c r="G265" s="14">
        <f t="shared" si="47"/>
        <v>6.9960436000000001</v>
      </c>
    </row>
    <row r="266" spans="1:7" x14ac:dyDescent="0.3">
      <c r="A266" s="13" t="s">
        <v>75</v>
      </c>
      <c r="B266" s="14">
        <f>+AVERAGE(B246:B265)</f>
        <v>6.7631071999999985</v>
      </c>
      <c r="C266" s="14">
        <f t="shared" ref="C266:F266" si="48">+AVERAGE(C246:C265)</f>
        <v>6.9024891999999998</v>
      </c>
      <c r="D266" s="14">
        <f t="shared" si="48"/>
        <v>6.9668238999999996</v>
      </c>
      <c r="E266" s="14">
        <f t="shared" si="48"/>
        <v>6.9752589499999997</v>
      </c>
      <c r="F266" s="14">
        <f t="shared" si="48"/>
        <v>7.0165622000000001</v>
      </c>
    </row>
    <row r="268" spans="1:7" x14ac:dyDescent="0.3">
      <c r="A268" t="s">
        <v>74</v>
      </c>
    </row>
  </sheetData>
  <mergeCells count="5">
    <mergeCell ref="A51:G51"/>
    <mergeCell ref="E2:Y2"/>
    <mergeCell ref="Z2:AG2"/>
    <mergeCell ref="A1:AG1"/>
    <mergeCell ref="A26:V26"/>
  </mergeCells>
  <conditionalFormatting sqref="O199:S2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{68330EEA-86C3-42BA-A741-A52C71E59EA9}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330EEA-86C3-42BA-A741-A52C71E59E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O199:S218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wellbeing</vt:lpstr>
      <vt:lpstr>access_rq</vt:lpstr>
      <vt:lpstr>coeff_discrtime_rel</vt:lpstr>
      <vt:lpstr>coeff_discrtime_sq_rel</vt:lpstr>
      <vt:lpstr>coeff_inc_wb</vt:lpstr>
      <vt:lpstr>coeff_inc2_wb</vt:lpstr>
      <vt:lpstr>coeff_prices_wb</vt:lpstr>
      <vt:lpstr>discrtime_rq</vt:lpstr>
      <vt:lpstr>discrtime_sq_rq</vt:lpstr>
      <vt:lpstr>environment_rq</vt:lpstr>
      <vt:lpstr>gini_peer_rq</vt:lpstr>
      <vt:lpstr>lifesatisf_coeff</vt:lpstr>
      <vt:lpstr>lifesatisf_coeff_lnx</vt:lpstr>
      <vt:lpstr>lifesatisf_pollution</vt:lpstr>
      <vt:lpstr>lifesatisf_rq</vt:lpstr>
      <vt:lpstr>neighbquality_rq</vt:lpstr>
      <vt:lpstr>relationship_rq</vt:lpstr>
      <vt:lpstr>trust_rq</vt:lpstr>
      <vt:lpstr>wb_coefficients</vt:lpstr>
      <vt:lpstr>wtr_discrtime_impact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Cano Ortiz</dc:creator>
  <cp:lastModifiedBy>David Cano Ortiz</cp:lastModifiedBy>
  <dcterms:created xsi:type="dcterms:W3CDTF">2026-03-08T17:00:58Z</dcterms:created>
  <dcterms:modified xsi:type="dcterms:W3CDTF">2026-03-12T19:21:25Z</dcterms:modified>
</cp:coreProperties>
</file>